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fedorscherbatenko/Downloads/"/>
    </mc:Choice>
  </mc:AlternateContent>
  <xr:revisionPtr revIDLastSave="0" documentId="13_ncr:1_{E822548D-B566-4145-9884-57D6EAA4E4F5}" xr6:coauthVersionLast="47" xr6:coauthVersionMax="47" xr10:uidLastSave="{00000000-0000-0000-0000-000000000000}"/>
  <bookViews>
    <workbookView xWindow="0" yWindow="660" windowWidth="30240" windowHeight="17240" xr2:uid="{EDA9DB1E-ADF8-074D-8E13-9CE26D290EC5}"/>
  </bookViews>
  <sheets>
    <sheet name="Cover" sheetId="1" r:id="rId1"/>
    <sheet name="Assumptions" sheetId="2" r:id="rId2"/>
    <sheet name="Historicals" sheetId="4" r:id="rId3"/>
    <sheet name="DCF" sheetId="7" r:id="rId4"/>
    <sheet name="Sources"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6" i="9" l="1"/>
  <c r="E17" i="1"/>
  <c r="E24" i="1"/>
  <c r="E23" i="1"/>
  <c r="E22" i="1"/>
  <c r="E21" i="1"/>
  <c r="E20" i="1"/>
  <c r="E15" i="1"/>
  <c r="E14" i="1"/>
  <c r="E13" i="1"/>
  <c r="E12" i="1"/>
  <c r="K29" i="2"/>
  <c r="E44" i="2"/>
  <c r="E11" i="7"/>
  <c r="E73" i="7"/>
  <c r="E70" i="7"/>
  <c r="E69" i="7"/>
  <c r="E68" i="7"/>
  <c r="E67" i="7"/>
  <c r="G52" i="7"/>
  <c r="G53" i="7" s="1"/>
  <c r="H52" i="7"/>
  <c r="H53" i="7" s="1"/>
  <c r="I52" i="7"/>
  <c r="I53" i="7" s="1"/>
  <c r="J52" i="7"/>
  <c r="J53" i="7" s="1"/>
  <c r="F52" i="7"/>
  <c r="F53" i="7" s="1"/>
  <c r="F47" i="7"/>
  <c r="G47" i="7"/>
  <c r="H47" i="7"/>
  <c r="I47" i="7"/>
  <c r="J47" i="7"/>
  <c r="E47" i="7"/>
  <c r="G46" i="7"/>
  <c r="H46" i="7"/>
  <c r="I46" i="7"/>
  <c r="J46" i="7"/>
  <c r="F46" i="7"/>
  <c r="E46" i="7"/>
  <c r="F45" i="7"/>
  <c r="G45" i="7"/>
  <c r="H45" i="7"/>
  <c r="I45" i="7"/>
  <c r="J45" i="7"/>
  <c r="E45" i="7"/>
  <c r="E10" i="7"/>
  <c r="E9" i="7"/>
  <c r="E8" i="7"/>
  <c r="E21" i="7"/>
  <c r="E17" i="7"/>
  <c r="E26" i="2"/>
  <c r="E61" i="7" l="1"/>
  <c r="H12" i="9"/>
  <c r="D12" i="9"/>
  <c r="D13" i="9"/>
  <c r="D11" i="9"/>
  <c r="E27" i="9"/>
  <c r="E25" i="9"/>
  <c r="E24" i="9"/>
  <c r="H16" i="9"/>
  <c r="D16" i="9"/>
  <c r="H15" i="9"/>
  <c r="D15" i="9"/>
  <c r="D14" i="9"/>
  <c r="H14" i="9"/>
  <c r="H13" i="9"/>
  <c r="H11" i="9"/>
  <c r="D10" i="9"/>
  <c r="H10" i="9"/>
  <c r="E51" i="2"/>
  <c r="E40" i="2"/>
  <c r="E39" i="2"/>
  <c r="E38" i="2"/>
  <c r="E37" i="2"/>
  <c r="E36" i="2"/>
  <c r="E35" i="2"/>
  <c r="E34" i="2"/>
  <c r="E33" i="2"/>
  <c r="F30" i="2"/>
  <c r="F17" i="7" s="1"/>
  <c r="F21" i="2"/>
  <c r="F23" i="2" s="1"/>
  <c r="E24" i="2"/>
  <c r="E25" i="2" s="1"/>
  <c r="E16" i="7" s="1"/>
  <c r="E18" i="7" s="1"/>
  <c r="E11" i="2"/>
  <c r="E13" i="2" s="1"/>
  <c r="E43" i="2"/>
  <c r="E16" i="2"/>
  <c r="H9" i="9"/>
  <c r="D9" i="9"/>
  <c r="H8" i="9"/>
  <c r="D8" i="9"/>
  <c r="H7" i="9"/>
  <c r="D7" i="9"/>
  <c r="F61" i="4"/>
  <c r="F49" i="4" s="1"/>
  <c r="F50" i="4" s="1"/>
  <c r="E61" i="4"/>
  <c r="E49" i="4" s="1"/>
  <c r="F60" i="4"/>
  <c r="G60" i="4"/>
  <c r="G61" i="4" s="1"/>
  <c r="G49" i="4" s="1"/>
  <c r="G50" i="4" s="1"/>
  <c r="E60" i="4"/>
  <c r="E38" i="4"/>
  <c r="E39" i="4" s="1"/>
  <c r="F67" i="4"/>
  <c r="G67" i="4"/>
  <c r="E67" i="4"/>
  <c r="F66" i="4"/>
  <c r="G66" i="4"/>
  <c r="E66" i="4"/>
  <c r="F65" i="4"/>
  <c r="G65" i="4"/>
  <c r="E65" i="4"/>
  <c r="F64" i="4"/>
  <c r="G64" i="4"/>
  <c r="E64" i="4"/>
  <c r="F48" i="4"/>
  <c r="G48" i="4"/>
  <c r="E48" i="4"/>
  <c r="F36" i="4"/>
  <c r="G36" i="4"/>
  <c r="E36" i="4"/>
  <c r="F31" i="4"/>
  <c r="G31" i="4"/>
  <c r="E31" i="4"/>
  <c r="F29" i="4"/>
  <c r="G29" i="4"/>
  <c r="E29" i="4"/>
  <c r="F27" i="4"/>
  <c r="G27" i="4"/>
  <c r="E27" i="4"/>
  <c r="F25" i="4"/>
  <c r="G25" i="4"/>
  <c r="E25" i="4"/>
  <c r="F19" i="4"/>
  <c r="G19" i="4"/>
  <c r="E19" i="4"/>
  <c r="F17" i="4"/>
  <c r="G17" i="4"/>
  <c r="E17" i="4"/>
  <c r="F15" i="4"/>
  <c r="G15" i="4"/>
  <c r="E15" i="4"/>
  <c r="F13" i="4"/>
  <c r="G13" i="4"/>
  <c r="E13" i="4"/>
  <c r="F44" i="4"/>
  <c r="G44" i="4"/>
  <c r="E44" i="4"/>
  <c r="F38" i="4"/>
  <c r="F39" i="4" s="1"/>
  <c r="G38" i="4"/>
  <c r="G39" i="4" s="1"/>
  <c r="F21" i="4"/>
  <c r="F22" i="4" s="1"/>
  <c r="G21" i="4"/>
  <c r="G22" i="4" s="1"/>
  <c r="E21" i="4"/>
  <c r="E22" i="4" s="1"/>
  <c r="G10" i="4"/>
  <c r="F10" i="4"/>
  <c r="E19" i="7" l="1"/>
  <c r="E20" i="7" s="1"/>
  <c r="G30" i="2"/>
  <c r="F24" i="2"/>
  <c r="G21" i="2" s="1"/>
  <c r="G23" i="2" s="1"/>
  <c r="G24" i="2" s="1"/>
  <c r="H21" i="2" s="1"/>
  <c r="F25" i="2"/>
  <c r="F16" i="7" s="1"/>
  <c r="F18" i="7" s="1"/>
  <c r="E26" i="7" l="1"/>
  <c r="E40" i="7"/>
  <c r="E44" i="7" s="1"/>
  <c r="E31" i="7"/>
  <c r="E32" i="7"/>
  <c r="E33" i="7"/>
  <c r="H30" i="2"/>
  <c r="G17" i="7"/>
  <c r="E23" i="7"/>
  <c r="E24" i="7"/>
  <c r="E25" i="7"/>
  <c r="K19" i="7"/>
  <c r="J19" i="7"/>
  <c r="H19" i="7"/>
  <c r="G19" i="7"/>
  <c r="I19" i="7"/>
  <c r="F19" i="7"/>
  <c r="F20" i="7" s="1"/>
  <c r="H23" i="2"/>
  <c r="H24" i="2" s="1"/>
  <c r="I21" i="2" s="1"/>
  <c r="G25" i="2"/>
  <c r="G16" i="7" s="1"/>
  <c r="G18" i="7" s="1"/>
  <c r="G20" i="7" s="1"/>
  <c r="E27" i="7" l="1"/>
  <c r="E28" i="7" s="1"/>
  <c r="G26" i="7"/>
  <c r="G33" i="7"/>
  <c r="G32" i="7"/>
  <c r="G31" i="7"/>
  <c r="G40" i="7"/>
  <c r="G44" i="7" s="1"/>
  <c r="F26" i="7"/>
  <c r="F31" i="7"/>
  <c r="F32" i="7"/>
  <c r="F40" i="7"/>
  <c r="F44" i="7" s="1"/>
  <c r="F33" i="7"/>
  <c r="F21" i="7"/>
  <c r="F25" i="7"/>
  <c r="F24" i="7"/>
  <c r="F23" i="7"/>
  <c r="G21" i="7"/>
  <c r="G23" i="7"/>
  <c r="G25" i="7"/>
  <c r="G24" i="7"/>
  <c r="I30" i="2"/>
  <c r="H17" i="7"/>
  <c r="I23" i="2"/>
  <c r="I24" i="2" s="1"/>
  <c r="J21" i="2" s="1"/>
  <c r="H25" i="2"/>
  <c r="H16" i="7" s="1"/>
  <c r="G27" i="7" l="1"/>
  <c r="G28" i="7" s="1"/>
  <c r="F27" i="7"/>
  <c r="F28" i="7" s="1"/>
  <c r="E29" i="7"/>
  <c r="E34" i="7"/>
  <c r="H18" i="7"/>
  <c r="H20" i="7" s="1"/>
  <c r="J30" i="2"/>
  <c r="I17" i="7"/>
  <c r="H21" i="7"/>
  <c r="H25" i="7"/>
  <c r="H23" i="7"/>
  <c r="J23" i="2"/>
  <c r="J24" i="2"/>
  <c r="I25" i="2"/>
  <c r="I16" i="7" s="1"/>
  <c r="H26" i="7" l="1"/>
  <c r="H40" i="7"/>
  <c r="H44" i="7" s="1"/>
  <c r="H33" i="7"/>
  <c r="H32" i="7"/>
  <c r="H31" i="7"/>
  <c r="I18" i="7"/>
  <c r="I20" i="7" s="1"/>
  <c r="E39" i="7"/>
  <c r="E41" i="7" s="1"/>
  <c r="E35" i="7"/>
  <c r="F29" i="7"/>
  <c r="F34" i="7"/>
  <c r="H24" i="7"/>
  <c r="H27" i="7" s="1"/>
  <c r="H28" i="7" s="1"/>
  <c r="G29" i="7"/>
  <c r="G34" i="7"/>
  <c r="I25" i="7"/>
  <c r="K30" i="2"/>
  <c r="K17" i="7" s="1"/>
  <c r="J17" i="7"/>
  <c r="J25" i="2"/>
  <c r="J16" i="7" s="1"/>
  <c r="K21" i="2"/>
  <c r="K23" i="2" s="1"/>
  <c r="H34" i="7" l="1"/>
  <c r="H29" i="7"/>
  <c r="I26" i="7"/>
  <c r="I40" i="7"/>
  <c r="I44" i="7" s="1"/>
  <c r="I31" i="7"/>
  <c r="I33" i="7"/>
  <c r="I32" i="7"/>
  <c r="E42" i="7"/>
  <c r="E43" i="7"/>
  <c r="I24" i="7"/>
  <c r="I23" i="7"/>
  <c r="I21" i="7"/>
  <c r="G39" i="7"/>
  <c r="G41" i="7" s="1"/>
  <c r="G35" i="7"/>
  <c r="F39" i="7"/>
  <c r="F41" i="7" s="1"/>
  <c r="F35" i="7"/>
  <c r="J18" i="7"/>
  <c r="J20" i="7" s="1"/>
  <c r="J24" i="7"/>
  <c r="J21" i="7"/>
  <c r="K22" i="2"/>
  <c r="K24" i="2" s="1"/>
  <c r="K25" i="2" s="1"/>
  <c r="K16" i="7" s="1"/>
  <c r="K18" i="7" s="1"/>
  <c r="K20" i="7" s="1"/>
  <c r="K46" i="7" l="1"/>
  <c r="K45" i="7"/>
  <c r="J26" i="7"/>
  <c r="J32" i="7"/>
  <c r="J40" i="7"/>
  <c r="J44" i="7" s="1"/>
  <c r="J33" i="7"/>
  <c r="J31" i="7"/>
  <c r="F42" i="7"/>
  <c r="F43" i="7" s="1"/>
  <c r="K26" i="7"/>
  <c r="K32" i="7"/>
  <c r="K31" i="7"/>
  <c r="K33" i="7"/>
  <c r="K40" i="7"/>
  <c r="K44" i="7" s="1"/>
  <c r="J23" i="7"/>
  <c r="I27" i="7"/>
  <c r="I28" i="7" s="1"/>
  <c r="G42" i="7"/>
  <c r="G43" i="7" s="1"/>
  <c r="J25" i="7"/>
  <c r="H39" i="7"/>
  <c r="H41" i="7" s="1"/>
  <c r="H35" i="7"/>
  <c r="K25" i="7"/>
  <c r="K24" i="7"/>
  <c r="K21" i="7"/>
  <c r="K23" i="7"/>
  <c r="I29" i="7" l="1"/>
  <c r="I34" i="7"/>
  <c r="H42" i="7"/>
  <c r="H43" i="7"/>
  <c r="J27" i="7"/>
  <c r="J28" i="7" s="1"/>
  <c r="K27" i="7"/>
  <c r="K28" i="7" s="1"/>
  <c r="K34" i="7" l="1"/>
  <c r="K29" i="7"/>
  <c r="J29" i="7"/>
  <c r="J34" i="7"/>
  <c r="I35" i="7"/>
  <c r="I39" i="7"/>
  <c r="I41" i="7" s="1"/>
  <c r="I42" i="7" l="1"/>
  <c r="I43" i="7" s="1"/>
  <c r="J39" i="7"/>
  <c r="J41" i="7" s="1"/>
  <c r="J35" i="7"/>
  <c r="K39" i="7"/>
  <c r="K41" i="7" s="1"/>
  <c r="K35" i="7"/>
  <c r="K42" i="7" l="1"/>
  <c r="K43" i="7"/>
  <c r="K47" i="7" s="1"/>
  <c r="E56" i="7" s="1"/>
  <c r="E57" i="7" s="1"/>
  <c r="E58" i="7" s="1"/>
  <c r="E62" i="7" s="1"/>
  <c r="E63" i="7" s="1"/>
  <c r="E66" i="7" s="1"/>
  <c r="E71" i="7" s="1"/>
  <c r="E74" i="7" s="1"/>
  <c r="E78" i="7" s="1"/>
  <c r="J42" i="7"/>
  <c r="J43" i="7"/>
</calcChain>
</file>

<file path=xl/sharedStrings.xml><?xml version="1.0" encoding="utf-8"?>
<sst xmlns="http://schemas.openxmlformats.org/spreadsheetml/2006/main" count="398" uniqueCount="325">
  <si>
    <t>Company Name:</t>
  </si>
  <si>
    <t>Valuation Date:</t>
  </si>
  <si>
    <t>Currency:</t>
  </si>
  <si>
    <t>KEY ASSUMPTIONS</t>
  </si>
  <si>
    <t>Discount Rate (WACC)</t>
  </si>
  <si>
    <t>Terminal Growth Rate</t>
  </si>
  <si>
    <t>Tax Rate</t>
  </si>
  <si>
    <t>Projection Period (Years)</t>
  </si>
  <si>
    <t>FINANCIAL PROJECTIONS</t>
  </si>
  <si>
    <t>Revenue</t>
  </si>
  <si>
    <t>EBITDA</t>
  </si>
  <si>
    <t>Depreciation &amp; Amortization</t>
  </si>
  <si>
    <t>Capital Expenditures</t>
  </si>
  <si>
    <t>FREE CASH FLOW CALCULATION</t>
  </si>
  <si>
    <t>Unlevered Free Cash Flow</t>
  </si>
  <si>
    <t>DCF VALUATION</t>
  </si>
  <si>
    <t>Discount Period</t>
  </si>
  <si>
    <t>Discount Factor</t>
  </si>
  <si>
    <t>Present Value of FCF</t>
  </si>
  <si>
    <t>TERMINAL VALUE</t>
  </si>
  <si>
    <t>Terminal Year FCF</t>
  </si>
  <si>
    <t>Terminal Value (Gordon Growth)</t>
  </si>
  <si>
    <t>PV of Terminal Value</t>
  </si>
  <si>
    <t>VALUATION SUMMARY</t>
  </si>
  <si>
    <t>Sum of PV of FCFs</t>
  </si>
  <si>
    <t>Enterprise Value</t>
  </si>
  <si>
    <t>BRIDGE TO EQUITY VALUE</t>
  </si>
  <si>
    <t>Less: Total Debt</t>
  </si>
  <si>
    <t>Plus: Cash &amp; Equivalents</t>
  </si>
  <si>
    <t>Equity Value</t>
  </si>
  <si>
    <t>Shares Outstanding (mm)</t>
  </si>
  <si>
    <t>Implied Share Price</t>
  </si>
  <si>
    <t>ASSUMPTIONS</t>
  </si>
  <si>
    <t>VALUATION ASSUMPTIONS</t>
  </si>
  <si>
    <t>HISTORICAL FINANCIALS</t>
  </si>
  <si>
    <t>USD ($mm), fiscal years ended 31-Dec</t>
  </si>
  <si>
    <t>REPORTED ACTUALS</t>
  </si>
  <si>
    <t>FY2023</t>
  </si>
  <si>
    <t>FY2024</t>
  </si>
  <si>
    <t>SENSITIVITY ANALYSIS</t>
  </si>
  <si>
    <t>Line Item</t>
  </si>
  <si>
    <t>Document</t>
  </si>
  <si>
    <t>Filing Date</t>
  </si>
  <si>
    <t>Location (Statement / Note / Page)</t>
  </si>
  <si>
    <t>Link</t>
  </si>
  <si>
    <t>Date Pulled</t>
  </si>
  <si>
    <t>Adjustment Notes</t>
  </si>
  <si>
    <t>Rationale</t>
  </si>
  <si>
    <t>Date Set</t>
  </si>
  <si>
    <t>Chipotle Mexican Grill, Inc. Form 10-K, FY2025</t>
  </si>
  <si>
    <t>FY2025</t>
  </si>
  <si>
    <t>Total Revenue</t>
  </si>
  <si>
    <t xml:space="preserve">Revenue Growth </t>
  </si>
  <si>
    <t>Food, beverage and packaging </t>
  </si>
  <si>
    <t>% of revenue</t>
  </si>
  <si>
    <t>Occupancy</t>
  </si>
  <si>
    <t xml:space="preserve">Other operating costs </t>
  </si>
  <si>
    <t xml:space="preserve">Restaurant-level operating costs </t>
  </si>
  <si>
    <t xml:space="preserve">Restaurant-level margin </t>
  </si>
  <si>
    <t>Pre-opening costs</t>
  </si>
  <si>
    <t>Impairment, closure costs, and asset disposals</t>
  </si>
  <si>
    <t>Total operating expenses</t>
  </si>
  <si>
    <t>Income from operations</t>
  </si>
  <si>
    <t xml:space="preserve">Operating margin </t>
  </si>
  <si>
    <t xml:space="preserve">EBITDA margin </t>
  </si>
  <si>
    <t>Interest and other income, net </t>
  </si>
  <si>
    <t>Income before income taxes </t>
  </si>
  <si>
    <t>Provision for income taxes </t>
  </si>
  <si>
    <t xml:space="preserve">Effective tax rate </t>
  </si>
  <si>
    <t xml:space="preserve">Net income </t>
  </si>
  <si>
    <t xml:space="preserve">Capital expenditures </t>
  </si>
  <si>
    <t xml:space="preserve">Change in net working capital </t>
  </si>
  <si>
    <t>% of change in revenue</t>
  </si>
  <si>
    <t>Total operating expenses | calc vs filed</t>
  </si>
  <si>
    <t>Income from operations | calc vs filed</t>
  </si>
  <si>
    <t>Income before income taxes | calc vs filed</t>
  </si>
  <si>
    <t>Net income | calc vs filed</t>
  </si>
  <si>
    <t xml:space="preserve">TRANSCRIPTION CHECK </t>
  </si>
  <si>
    <t>WORKING CAPITAL DERIVATION</t>
  </si>
  <si>
    <t xml:space="preserve">Accounts receivable </t>
  </si>
  <si>
    <t>Inventory</t>
  </si>
  <si>
    <t xml:space="preserve">Prepaid expenses and other current assets </t>
  </si>
  <si>
    <t xml:space="preserve">Accounts payable </t>
  </si>
  <si>
    <t xml:space="preserve">Accrued payroll and benefits </t>
  </si>
  <si>
    <t xml:space="preserve">Accrued liabilities </t>
  </si>
  <si>
    <t xml:space="preserve">Unearned revenue </t>
  </si>
  <si>
    <t>Net cash effect of working capital</t>
  </si>
  <si>
    <t>Change in NWC</t>
  </si>
  <si>
    <t>Labor</t>
  </si>
  <si>
    <t xml:space="preserve">Income statement – all lines </t>
  </si>
  <si>
    <t>Consolidated Statements of Income and Comprehensive Income, p. 37</t>
  </si>
  <si>
    <t>Model Location</t>
  </si>
  <si>
    <t xml:space="preserve">Capital Expenditures </t>
  </si>
  <si>
    <t>Consolidated Statements of Cash Flows – investing activities, p. 39</t>
  </si>
  <si>
    <t>Consolidated Statements of Cash Flows – changes in operating assets and liabilities, p. 39</t>
  </si>
  <si>
    <t>Built from seven lines: accounts receivable, inventory, prepaid &amp; other current assets, accounts payable, accrued payroll &amp; benefits, accrued liabilities, unearned revenue. Sign flipped from the filing convention to present the cash use. Excluded – operating lease assets and operating lease liabilities, leases treated as operating expense; Income tax payable/receivable, tax modelled separately in FCF; Other assets and other long-term liabilities, not working capital related.</t>
  </si>
  <si>
    <t>SOURCES – ASSUMPTION RATIONALE</t>
  </si>
  <si>
    <t>SOURCES – HISTORICAL DATA</t>
  </si>
  <si>
    <t xml:space="preserve">Anchor </t>
  </si>
  <si>
    <t xml:space="preserve">Convention </t>
  </si>
  <si>
    <t>Value in model</t>
  </si>
  <si>
    <t>Decision</t>
  </si>
  <si>
    <t>Leases treated as operating expense</t>
  </si>
  <si>
    <t>Converted from $000s as filed to $mm (÷1000). No other adjustment was made. EBITDA (row 38) is not a reported figure – it is calculated as income from operations + D&amp;A.</t>
  </si>
  <si>
    <t>Cash capex per "Purchases of leasehold improvements, property and equipment". Excludes accrued unpaid capex.</t>
  </si>
  <si>
    <t>General and administrative expenses</t>
  </si>
  <si>
    <t>Depreciation and Amortization</t>
  </si>
  <si>
    <t xml:space="preserve">  </t>
  </si>
  <si>
    <t xml:space="preserve">Equity risk premium </t>
  </si>
  <si>
    <t xml:space="preserve">Equity beta </t>
  </si>
  <si>
    <t xml:space="preserve">Cost of equity </t>
  </si>
  <si>
    <t>Debt/total capitalisation</t>
  </si>
  <si>
    <t>WACC</t>
  </si>
  <si>
    <t>Effective tax rate</t>
  </si>
  <si>
    <t>UNIT DRIVERS</t>
  </si>
  <si>
    <t xml:space="preserve">COST OF CAPITAL </t>
  </si>
  <si>
    <t xml:space="preserve">Restaurants, beginning </t>
  </si>
  <si>
    <t xml:space="preserve">New openings </t>
  </si>
  <si>
    <t xml:space="preserve">Closures </t>
  </si>
  <si>
    <t xml:space="preserve">Restaurants, ending </t>
  </si>
  <si>
    <t xml:space="preserve">Average restaurants </t>
  </si>
  <si>
    <t>REVENUE  DRIVERS</t>
  </si>
  <si>
    <t xml:space="preserve">Comparable restaurant sales growth </t>
  </si>
  <si>
    <t>Average unit volume ($mm)</t>
  </si>
  <si>
    <t>Food, beverage and packaging</t>
  </si>
  <si>
    <t xml:space="preserve">Occupancy </t>
  </si>
  <si>
    <t>G&amp;A</t>
  </si>
  <si>
    <t xml:space="preserve">Pre-opening costs </t>
  </si>
  <si>
    <t>Impairment, closure and disposals</t>
  </si>
  <si>
    <t>D&amp;A</t>
  </si>
  <si>
    <t xml:space="preserve">BRIDGE ITEMS </t>
  </si>
  <si>
    <t>Year 1</t>
  </si>
  <si>
    <t>Year 2</t>
  </si>
  <si>
    <t>Year 3</t>
  </si>
  <si>
    <t>Year 4</t>
  </si>
  <si>
    <t>Year 5</t>
  </si>
  <si>
    <t>Terminal</t>
  </si>
  <si>
    <t>FY2025A</t>
  </si>
  <si>
    <t xml:space="preserve">Total debt </t>
  </si>
  <si>
    <t xml:space="preserve">Cash and cash equivalents </t>
  </si>
  <si>
    <t xml:space="preserve">Short-term investments </t>
  </si>
  <si>
    <t xml:space="preserve">Long-term investments </t>
  </si>
  <si>
    <t>Shares outstanding (mm)</t>
  </si>
  <si>
    <t xml:space="preserve">Total cash and investments </t>
  </si>
  <si>
    <t>Risk-free rate (10-yr Treasury, 31-Dec-2025)</t>
  </si>
  <si>
    <t>SOURCES – MARKET &amp; THIRD-PARTY DATA</t>
  </si>
  <si>
    <t>Input</t>
  </si>
  <si>
    <t>Value</t>
  </si>
  <si>
    <t>Model location</t>
  </si>
  <si>
    <t>Source</t>
  </si>
  <si>
    <t>Detail</t>
  </si>
  <si>
    <t xml:space="preserve">Restaurant activity </t>
  </si>
  <si>
    <t>MD&amp;A, Restaurant Activity table, p. 24</t>
  </si>
  <si>
    <t>Company-owned only; partner-operated (14 at year end) excluded. Closures of 18 = 13 permanent + 5 relocations. Openings of 334 are gross. 
Roll-forward ties: 3,726 + 334 − 18 = 4,042</t>
  </si>
  <si>
    <t>Comparable sales &amp; AUV</t>
  </si>
  <si>
    <t>MD&amp;A, Revenue table, p. 25</t>
  </si>
  <si>
    <t>MD&amp;A, p. 24</t>
  </si>
  <si>
    <t>Cash and investments</t>
  </si>
  <si>
    <t>Consolidated Balance Sheets, p. 36</t>
  </si>
  <si>
    <t>Restricted cash of 35,364 excluded</t>
  </si>
  <si>
    <t>Balance Sheets p. 36; lease discount-rate note p. 41</t>
  </si>
  <si>
    <t>No borrowings line exists on the balance sheet. Filing states "we have no outstanding debt." $500.0mm revolving facility undrawn at year end</t>
  </si>
  <si>
    <t xml:space="preserve">Shares outstanding </t>
  </si>
  <si>
    <t>Scale confirmed against basic EPS of $1.15 on net income of $1,535.8m, implying ~1,337.3m weighted-average shares, matching the income statement. Actual count used, not weighted average</t>
  </si>
  <si>
    <t xml:space="preserve">Cover page </t>
  </si>
  <si>
    <t>Risk-free rate</t>
  </si>
  <si>
    <t>US Dept of the Treasury, Daily Treasury Par Yield Curve Rates</t>
  </si>
  <si>
    <t>10-yr CMT, 31-Dec-2025. 
Same date: 20-yr 4.79%, 30-yr 4.84%</t>
  </si>
  <si>
    <t>Equity beta</t>
  </si>
  <si>
    <t>-</t>
  </si>
  <si>
    <t xml:space="preserve">WACC equals cost of equity </t>
  </si>
  <si>
    <t>Peers</t>
  </si>
  <si>
    <t>Third party academic</t>
  </si>
  <si>
    <t xml:space="preserve">Risk-free rate – maturity and date selection </t>
  </si>
  <si>
    <t>The 10-year yield is used to match the base against which Damodaran's implied ERP is computed. His premium is backed out of the S&amp;P 500 against the 10-year T-bond, so pairing 4.46% with the 30-year yield of 4.84% would count the term premium twice and produce a cost of equity of 8.32% – above the implied total market return of 8.64%. The yield is taken as at the valuation date of 31-Dec-2025, consistent with the balance sheet, share count and both Damodaran files.</t>
  </si>
  <si>
    <t xml:space="preserve">Comps: (1.7%) = transactions (2.9%) + average check +1.2% (menu price +2.1%, check mix (0.9%)). 
AUV: $3.104m is trailing 12-month food and beverage revenue for restaurants open &gt;12 full calendar months – a much narrower base than total revenue, from there goes the calibration factor
</t>
  </si>
  <si>
    <t>Equity risk premium – US, not mature-market</t>
  </si>
  <si>
    <t>The US-specific implied premium is used because Chipotle operates only in the US and Canada; the mature-market figure of 4.23% is the US premium net of the US sovereign default spread and would understate the premium for a US-domiciled operator.</t>
  </si>
  <si>
    <t>Projection period</t>
  </si>
  <si>
    <t>5 years</t>
  </si>
  <si>
    <t>Convention</t>
  </si>
  <si>
    <t>Terminal growth rate</t>
  </si>
  <si>
    <t>Convergence</t>
  </si>
  <si>
    <t>Terminal capex</t>
  </si>
  <si>
    <t>4.3% of revenue</t>
  </si>
  <si>
    <t>Sized to satisfy g = ROIC × reinvestment rate. Capex per opening $2.00mm (666,336 ÷ 334 openings, p. 39 / p. 24); unit EBITDA $0.788mm (AUV $3.104mm × 25.38% restaurant-level margin); post-tax return per new restaurant ~26.6%. At ~25% incremental ROIC, 2.5% growth requires reinvestment of 10% of NOPAT ≈ 1.2% of revenue above D&amp;A of 3.03%. Setting terminal capex equal to D&amp;A would imply perpetual growth funded by zero incremental capital</t>
  </si>
  <si>
    <t>New openings</t>
  </si>
  <si>
    <t>350/yr</t>
  </si>
  <si>
    <t>Guidance</t>
  </si>
  <si>
    <t>Closure rate</t>
  </si>
  <si>
    <t>0.46% of beginning units</t>
  </si>
  <si>
    <t>History</t>
  </si>
  <si>
    <t>Comparable sales path</t>
  </si>
  <si>
    <t>0.0 / 1.5 / 2.0 / 2.5 / 2.5%</t>
  </si>
  <si>
    <t>Cost driver paths</t>
  </si>
  <si>
    <t>AUV calibration factor</t>
  </si>
  <si>
    <t>No EBITDA add-backs</t>
  </si>
  <si>
    <t>Restricted cash excluded</t>
  </si>
  <si>
    <t>35.4 excluded</t>
  </si>
  <si>
    <t>Equity investments not added</t>
  </si>
  <si>
    <t>105.3 not added</t>
  </si>
  <si>
    <t>Discounting convention</t>
  </si>
  <si>
    <t xml:space="preserve">FY2026 opening guidance </t>
  </si>
  <si>
    <t>FY2026 comparable sales guidance</t>
  </si>
  <si>
    <t xml:space="preserve">350 - 370 openings including 10 - 15 international partner-operated, so company-owned guidance is 340 - 355. </t>
  </si>
  <si>
    <t>Comparable sales guided "about flat"</t>
  </si>
  <si>
    <t>Notes</t>
  </si>
  <si>
    <t>Treasury par yield curve 2025 — CSV</t>
  </si>
  <si>
    <t>Official primary source. Yield taken as at the valuation date of 31-Dec-2025, not a period average. The published daily series is a permanent archive and is not overwritten.</t>
  </si>
  <si>
    <t>Damodaran betas.xls</t>
  </si>
  <si>
    <t>Damodaran ctryprem.xlsx</t>
  </si>
  <si>
    <t>Equity beta – why the unlevered, cash-corrected figure</t>
  </si>
  <si>
    <t>Assumptions!E46:E50</t>
  </si>
  <si>
    <t>Assumptions!E13</t>
  </si>
  <si>
    <t>Assumptions!E8</t>
  </si>
  <si>
    <t>Assumptions!E9</t>
  </si>
  <si>
    <t>Assumptions!E10</t>
  </si>
  <si>
    <t>Assumptions!E18</t>
  </si>
  <si>
    <t>Assumptions!E17</t>
  </si>
  <si>
    <t>Assumptions!K42</t>
  </si>
  <si>
    <t>Assumptions!F22:K22</t>
  </si>
  <si>
    <t>Assumptions!E23:K23</t>
  </si>
  <si>
    <t>Assumptions!F28:K28</t>
  </si>
  <si>
    <t>Assumptions!E32:K39</t>
  </si>
  <si>
    <t>Assumptions!E43:K43</t>
  </si>
  <si>
    <t>Assumptions!E29</t>
  </si>
  <si>
    <t>Historicals!E38:G38</t>
  </si>
  <si>
    <t>Assumptions!E47:E49</t>
  </si>
  <si>
    <t>Assumptions!E49</t>
  </si>
  <si>
    <t>DCF!C42</t>
  </si>
  <si>
    <t>Third-party academic source, not a filing. Implied, forward-looking premium, so it must be paired with the risk-free rate against which it was computed. The file states: "ERP for US = Implied Expected Return on US stocks - (US 10-yr T.Bond - Default spread for US)".
File is overwritten at each update; version pinned by the internal date of 1-Jan-2026.</t>
  </si>
  <si>
    <t>Sheet "ERPs by country", row United States, Total Equity Risk Premium. File "Date of update": 1-Jan-2026.
Mature market premium 4.23%</t>
  </si>
  <si>
    <t xml:space="preserve">Sheet "Industry Averages", row Restaurant/Dining, column "Unlevered beta corrected for cash". 64 US firms. File "Date updated": 5-Jan-2026.
</t>
  </si>
  <si>
    <t>Third-party academic source, not a filing. Column choice follows the file's own note: "if you are looking for a pure-play beta, i.e., a beta for a business, the unlevered beta corrected for cash is your best bet."
Damodaran overwrites this file at each annual update, so the URL will serve a different figure in future. Version is pinned by the internal "Date updated" of 5-Jan-2026</t>
  </si>
  <si>
    <t>Equity beta – why an industry average</t>
  </si>
  <si>
    <t xml:space="preserve">A 64-firm industry average is used, because bottom-up betas average out the standard error of any one regression and are the intended use of the source data. 
Limitation stated openly: a bottom-up beta assumes Chipotle carries average restaurant operating risk; as a higher-multiple, growth-dependent operator its own regression beta is likely higher.
The current-year figure is used for date consistency with the 31-Dec-2025 valuation date, but the decline is monotonic and the average is materially higher, so beta is carried as an axis of the sensitivity analysis </t>
  </si>
  <si>
    <t>Five explicit years with a normalised terminal year. Years 6–10 of a longer model would be unexamined extrapolation; a shorter horizon with an explicitly normalised terminal year is more defensible. Terminal value share of EV is at ~80%</t>
  </si>
  <si>
    <t>At steady state unit growth is zero – the 7,000-restaurant goal for the U.S. and Canada (Item 1, p. 8) is finite. Perpetual growth must therefore come from price and mix on a fixed base. Menu price increases were +2.1% (FY2025) and +2.9% (FY2024), p. 25, demonstrating pricing at or above long-run inflation even while transactions fell 2.9%. 2.5% represents inflation-level pricing with no real volume or unit growth, and sits below long-run nominal GDP of ~4%</t>
  </si>
  <si>
    <t xml:space="preserve">Closures modelled as a rate, so they scale with the estate. FY2025: 18 of 3,726 = 0.48%; FY2024: 15 of 3,437 = 0.44%. Holding a flat 18 closures would imply the closure rate falling to 0.32% by Year 5 as the base grows, unstated assumption </t>
  </si>
  <si>
    <t>Year 1 from management guidance of "about flat" (p. 24). Years 2–5 assume a gradual recovery converging on the terminal rate by Year 4, so comps consist of pricing only by the end of the explicit period – no discontinuity at the terminal boundary. FY2025 comps of (1.7%) were driven by transactions (2.9%), so recovery is modelled as transactions ceasing to decline rather than as further price increases</t>
  </si>
  <si>
    <t>FY2024 was (6.0%) of Δ revenue and FY2025 +5.6%, with no identifiable pattern and an absolute impact under 4% of EBITDA. Working capital is structurally negative (payables and accruals exceed receivables and inventory), a normal restaurant trait. Zero is treated as the honest estimate and documented as immaterial</t>
  </si>
  <si>
    <t xml:space="preserve">Stock-based compensation ($119.5m), pre-opening costs ($49.5m) and impairment/closure/disposals ($27.5m) are all left in. The test applied is recurrence: each appears in every reporting year (impairment 36.9 / 26.9 / 27.5), so each is a structural cost of operating and growing the estate. SBC in particular dilutes shareholders annually and is a real cost paid in equity, not cash. </t>
  </si>
  <si>
    <t>Restricted as to withdrawal or use (primarily insurance-related restricted trusts, p. 36/p. 48), therefore unavailable for general corporate purposes and excluded from the bridge by convention.</t>
  </si>
  <si>
    <t xml:space="preserve">Note 5 (p. 50) discloses total equity investments of $105.3m (equity method $28.2m, other investments $77.1m), but the note states the Hyphen and Nuro holdings are "included within long-term investments", which are already inside the $197.1m in the bridge. Adding the disclosed total would double-count them. </t>
  </si>
  <si>
    <t>Year- end</t>
  </si>
  <si>
    <t>Cash flows discounted at full-year periods 1–5 and not in mid-year. Year-end is the more conservative convention and is applied consistently to the terminal value</t>
  </si>
  <si>
    <t>Closure rate (% of beginning)</t>
  </si>
  <si>
    <t>Two sequential corrections to the industry average, for two unrelated distortions.
(1) Leverage. The as-reported industry beta of 0.9241 embeds the peer group's 27.22% D/E, which Chipotle does not have. Unlevering: 0.9241 / [1 + (1 - 0.25) x 0.2722] = 0.7674. Relevering to Chipotle's D/E of zero leaves it unchanged, so levered beta equals unlevered beta. Using the as-reported average would import peer leverage into a debt-free company.
(2) Cash. A measured beta is a blend of everything the company owns, and cash carries a beta of approximately zero, so it drags the measured figure down. With cash at 1.99% of firm value: 0.7674 / (1 - 0.0199) = 0.7830. The correction raises the beta, because removing the riskless component leaves a riskier remainder.
The cash-corrected figure is required here because the DCF values operating assets only – cash and investments of $1,246.3mm are added separately in the bridge – so a cash-inclusive beta would understate operating risk and double-count the cash. The source file states the same: "if you are looking for a pure-play beta, i.e., a beta for a business, the unlevered beta corrected for cash is your best bet."</t>
  </si>
  <si>
    <t>FY2026 guidance of 350–370 includes 10–15 international partner-operated restaurants outside the company-owned base being modelled, implying ~340–355 company-owned. 350 held flat across the forecast; FY2025 actual was 334 and FY2024 was 304, so the openings pace is assumed to stay flat at ~350</t>
  </si>
  <si>
    <t>EBITDA margin 19.3% → 20.4%</t>
  </si>
  <si>
    <t>SOURCES &amp; ASSUMPTION RATIONALE</t>
  </si>
  <si>
    <t>Chipotle Mexican Grill, Inc. · Every input traced to a primary filing, an official rate, or a documented judgement</t>
  </si>
  <si>
    <t>Chipotle Mexican Grill, Inc. · Valuation date 31-Dec-2025 · USD ($mm), except unit counts and per-share amounts</t>
  </si>
  <si>
    <t>Actual</t>
  </si>
  <si>
    <t>Forecast</t>
  </si>
  <si>
    <t>Chipotle leases virtually all of its 4,042 restaurants. Rent is already deducted in the income statement, mainly within Occupancy, so EBITDA in the model is after rent. The lease liability of $5,075.8mm (Consolidated Balance Sheets, p. 36; total also shown in Note 9, p. 59) is therefore excluded from net debt, leaving net cash of $1,246.3mm. 
Why this choice: total lease cost was $671.1mm in FY2025 (Note 9, Leases – components of lease cost, p. 59), which exceeds the entire Occupancy line of $624.9mm (Consolidated Statements of Income, p. 37). The filing does not disclose how much lease cost sits in each expense line, so adding rent back to EBITDA would require an inaccurate estimate to take that split into account. This treatment requires no estimate. 
As a consequence EBITDA and enterprise value are not comparable to lease-capitalised EV/EBITDA multiples.</t>
  </si>
  <si>
    <t>Each line anchored to its FY2025 actual in column E via a live link to Historicals. Food held flat (29.50–29.83% over three years; ~15bp ongoing tariff impact per p. 25, offset by pricing). Labor 25.09% → 24.7% and occupancy 5.24% → 5.0% on the basis that both deteriorated because AUV fell rather than because costs rose, and should releverage as comps recover. Pre-opening, impairment and D&amp;A held flat. 
Implied outcome: EBITDA margin 19.26% → 20.40% and restaurant-level margin 25.38% → 26.20% by Year 5 – a recovery to the FY2023 level, below the FY2024 peak of 26.67%</t>
  </si>
  <si>
    <t>Chipotle Mexican Grill, Inc. (NYSE: CMG)</t>
  </si>
  <si>
    <t>USD ($mm), except per-share amounts</t>
  </si>
  <si>
    <t>Revenue is built as average restaurants × AUV, but AUV covers only restaurants open more or equal to 12 full calendar months and only food and beverage revenue, while the multiplication uses all average restaurants against total revenue. Testing on FY2025: 3,884 × 3.104 = 12,056 against actual 11,925.6, a 1.1% overstatement. A calibration factor is applied so the method reproduces the actual base year</t>
  </si>
  <si>
    <t>Chipotle has no borrowings (Balance Sheets, p. 36; "we have no outstanding debt", p. 41), so in WACC = (E/V)·Re + (D/V)·Rd·(1−t) the debt is zero and E/V = 1. WACC therefore equals cost of equity. 
The 0.0% debt weight is entered explicitly in E12, so the reason the identity holds is visible.
However that means no interest tax shield, so Chipotle's WACC is higher than an otherwise identical levered peer's purely from capital structure; and no relevering is required, since levered beta equals unlevered beta at D/E = 0.</t>
  </si>
  <si>
    <t>Plus: Short-term investments</t>
  </si>
  <si>
    <t xml:space="preserve">Plus: Long-term investments </t>
  </si>
  <si>
    <t>EBIT</t>
  </si>
  <si>
    <t>NOPAT</t>
  </si>
  <si>
    <t>Restaurants, average</t>
  </si>
  <si>
    <t>Precalibration revenue (units ⨯AUV)</t>
  </si>
  <si>
    <t xml:space="preserve">Calibration factor </t>
  </si>
  <si>
    <t xml:space="preserve">Revenue growth </t>
  </si>
  <si>
    <r>
      <rPr>
        <b/>
        <sz val="11"/>
        <color theme="0"/>
        <rFont val="Calibri"/>
        <family val="2"/>
      </rPr>
      <t>COST DRIVERS (</t>
    </r>
    <r>
      <rPr>
        <i/>
        <sz val="12"/>
        <color theme="0"/>
        <rFont val="Aptos Narrow"/>
        <family val="2"/>
        <scheme val="minor"/>
      </rPr>
      <t>% of revenue</t>
    </r>
    <r>
      <rPr>
        <sz val="12"/>
        <color theme="0"/>
        <rFont val="Aptos Narrow"/>
        <family val="2"/>
        <scheme val="minor"/>
      </rPr>
      <t>)</t>
    </r>
  </si>
  <si>
    <t>Restaurant-level profit</t>
  </si>
  <si>
    <t>EBITDA margin</t>
  </si>
  <si>
    <t xml:space="preserve">Terminal </t>
  </si>
  <si>
    <t>Taxes on EBIT</t>
  </si>
  <si>
    <t>Add back: Depreciation &amp; Amortization</t>
  </si>
  <si>
    <r>
      <t>CAPITAL DRIVERS (</t>
    </r>
    <r>
      <rPr>
        <i/>
        <sz val="12"/>
        <color theme="0"/>
        <rFont val="Aptos Narrow"/>
        <family val="2"/>
        <scheme val="minor"/>
      </rPr>
      <t>% of revenue</t>
    </r>
    <r>
      <rPr>
        <sz val="12"/>
        <color theme="0"/>
        <rFont val="Aptos Narrow"/>
        <family val="2"/>
        <scheme val="minor"/>
      </rPr>
      <t>)</t>
    </r>
  </si>
  <si>
    <t>T-growth rate</t>
  </si>
  <si>
    <t>Implied share price ($). 
Columns: WACC (Assumptions!E13). 
Rows: terminal growth rate (Assumptions!E17). 
Base case shaded. Axes are formula-driven off the live inputs.</t>
  </si>
  <si>
    <t>CHIPOTLE MEXICAN GRILL, INC.</t>
  </si>
  <si>
    <t>Discounted Cash Flow Analysis  ·  NYSE: CMG</t>
  </si>
  <si>
    <t>DOCUMENT DETAILS</t>
  </si>
  <si>
    <t>Valuation date</t>
  </si>
  <si>
    <t>Report date</t>
  </si>
  <si>
    <t>Currency and units</t>
  </si>
  <si>
    <t>Prepared by</t>
  </si>
  <si>
    <t>USD, $ in millions except per-share amounts and unit counts</t>
  </si>
  <si>
    <t>Enterprise value</t>
  </si>
  <si>
    <t>Equity value</t>
  </si>
  <si>
    <t>Implied value per share</t>
  </si>
  <si>
    <t>Market price at 31-Dec-2025</t>
  </si>
  <si>
    <t>Explicit forecast period (years)</t>
  </si>
  <si>
    <t>Terminal value as % of enterprise value</t>
  </si>
  <si>
    <t>FORMATTING LEGEND</t>
  </si>
  <si>
    <t>CONTENTS</t>
  </si>
  <si>
    <t>Assumptions</t>
  </si>
  <si>
    <t>Every input and driver, with FY2025 actuals beside each forecast and a normalised terminal column</t>
  </si>
  <si>
    <t>Historicals</t>
  </si>
  <si>
    <t>FY2023–25 as reported, converted to $mm, with transcription checks against the filing</t>
  </si>
  <si>
    <t>DCF</t>
  </si>
  <si>
    <t>Operating build, free cash flow, discounting, terminal value, bridge to equity and sensitivity</t>
  </si>
  <si>
    <t>Sources</t>
  </si>
  <si>
    <t>Every figure traced to a primary filing, an official rate, or a documented judgement</t>
  </si>
  <si>
    <t>SOURCES</t>
  </si>
  <si>
    <t>Primary</t>
  </si>
  <si>
    <t>Official</t>
  </si>
  <si>
    <t>Third-party</t>
  </si>
  <si>
    <t>Outstanding</t>
  </si>
  <si>
    <t xml:space="preserve">WACC </t>
  </si>
  <si>
    <t>Fedor Shcherbatenko Romanovich</t>
  </si>
  <si>
    <t>US Department of the Treasury, Daily Treasury Par Yield Curve Rates – 10-year CMT at 31-Dec-2025</t>
  </si>
  <si>
    <t>Chipotle Mexican Grill, Inc. Form 10-K for FY2025, filed 4-Feb-2026 – all historical financials, restaurant activity, comparable sales, balance sheet and share count</t>
  </si>
  <si>
    <t>Market price at 31-Dec-2025 – WSJ Markets Data Home – historical prices, NYSE: CMG</t>
  </si>
  <si>
    <t xml:space="preserve">Damodaran (NYU Stern) – industry unlevered beta corrected for cash, and US implied equity risk premium. </t>
  </si>
  <si>
    <t>Implied downside</t>
  </si>
  <si>
    <t>Blue – a typed input. These are the cells to change when testing scenarios.</t>
  </si>
  <si>
    <t>Green – a direct link to a cell on another worksheet.</t>
  </si>
  <si>
    <t>Black – a formula calculated on the sheet where it sits. A formula that reaches another sheet but also does arithmetic stays black.</t>
  </si>
  <si>
    <t>Yellow fill – the live base case in a sensitivity grid, or an input still needing attention.</t>
  </si>
  <si>
    <t xml:space="preserve">Share price at valuation date </t>
  </si>
  <si>
    <t>WSJ Markets – historical prices, NYSE: CMG</t>
  </si>
  <si>
    <t>Damodaran, Country Default Spreads and Risk Premiums – ctryprem.xlsx</t>
  </si>
  <si>
    <t>Damodaran, Betas by Sector (US) – betas.xls</t>
  </si>
  <si>
    <t>Closing price, 31-Dec-2025.</t>
  </si>
  <si>
    <t>WallStreetJournal.MarketDataHome</t>
  </si>
  <si>
    <t>Market data, not a primary filing. Comparator only – no valuation output depends on this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</si>
</sst>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164" formatCode="0.0%"/>
    <numFmt numFmtId="165" formatCode="0.000"/>
    <numFmt numFmtId="166" formatCode="&quot;$&quot;#,##0.0;\(&quot;$&quot;#,##0.0\);&quot;-&quot;"/>
    <numFmt numFmtId="167" formatCode="&quot;$&quot;#,##0.00"/>
    <numFmt numFmtId="168" formatCode="&quot;$&quot;#,##0.000;\(&quot;$&quot;#,##0.000\);&quot;-&quot;"/>
    <numFmt numFmtId="169" formatCode="0.00\X"/>
    <numFmt numFmtId="170" formatCode="0.0&quot;$&quot;;\(0.0%\)"/>
    <numFmt numFmtId="171" formatCode="&quot;$&quot;#,##0.0"/>
    <numFmt numFmtId="172" formatCode="0.00\x"/>
    <numFmt numFmtId="173" formatCode="[$-409]d\-mmm\-yy;@"/>
    <numFmt numFmtId="174" formatCode="#,##0.0"/>
    <numFmt numFmtId="175" formatCode="0.0%;\(0.0%\)"/>
  </numFmts>
  <fonts count="44" x14ac:knownFonts="1">
    <font>
      <sz val="12"/>
      <color theme="1"/>
      <name val="Aptos Narrow"/>
      <family val="2"/>
      <scheme val="minor"/>
    </font>
    <font>
      <sz val="12"/>
      <color theme="1"/>
      <name val="Aptos Narrow"/>
      <family val="2"/>
      <scheme val="minor"/>
    </font>
    <font>
      <sz val="10"/>
      <color theme="1"/>
      <name val="Calibri"/>
      <family val="2"/>
    </font>
    <font>
      <b/>
      <sz val="10"/>
      <color theme="1"/>
      <name val="Calibri"/>
      <family val="2"/>
    </font>
    <font>
      <sz val="10"/>
      <color rgb="FF0000FF"/>
      <name val="Calibri"/>
      <family val="2"/>
    </font>
    <font>
      <i/>
      <sz val="9"/>
      <color theme="1"/>
      <name val="Calibri"/>
      <family val="2"/>
    </font>
    <font>
      <sz val="10"/>
      <color rgb="FF0432FF"/>
      <name val="Calibri"/>
      <family val="2"/>
    </font>
    <font>
      <sz val="8"/>
      <name val="Aptos Narrow"/>
      <family val="2"/>
      <scheme val="minor"/>
    </font>
    <font>
      <u/>
      <sz val="12"/>
      <color theme="10"/>
      <name val="Aptos Narrow"/>
      <family val="2"/>
      <scheme val="minor"/>
    </font>
    <font>
      <i/>
      <sz val="10"/>
      <color theme="2" tint="-0.499984740745262"/>
      <name val="Calibri"/>
      <family val="2"/>
    </font>
    <font>
      <sz val="10"/>
      <name val="Calibri"/>
      <family val="2"/>
    </font>
    <font>
      <b/>
      <sz val="10"/>
      <name val="Calibri"/>
      <family val="2"/>
    </font>
    <font>
      <sz val="10"/>
      <color rgb="FF121212"/>
      <name val="Calibri"/>
      <family val="2"/>
    </font>
    <font>
      <u/>
      <sz val="10"/>
      <color theme="10"/>
      <name val="Calibri"/>
      <family val="2"/>
    </font>
    <font>
      <i/>
      <sz val="10"/>
      <color theme="1"/>
      <name val="Calibri"/>
      <family val="2"/>
    </font>
    <font>
      <sz val="10"/>
      <color theme="6" tint="0.39997558519241921"/>
      <name val="Calibri"/>
      <family val="2"/>
    </font>
    <font>
      <b/>
      <sz val="12"/>
      <color rgb="FFFFFFFF"/>
      <name val="Calibri"/>
      <family val="2"/>
    </font>
    <font>
      <b/>
      <sz val="10"/>
      <color rgb="FF121212"/>
      <name val="Calibri"/>
      <family val="2"/>
    </font>
    <font>
      <u/>
      <sz val="12"/>
      <color theme="10"/>
      <name val="Calibri"/>
      <family val="2"/>
    </font>
    <font>
      <sz val="12"/>
      <color theme="1"/>
      <name val="Calibri"/>
      <family val="2"/>
    </font>
    <font>
      <sz val="10"/>
      <color rgb="FF000000"/>
      <name val="Calibri"/>
      <family val="2"/>
    </font>
    <font>
      <sz val="10"/>
      <color rgb="FF00B050"/>
      <name val="Calibri"/>
      <family val="2"/>
    </font>
    <font>
      <b/>
      <sz val="11"/>
      <color rgb="FFFFFFFF"/>
      <name val="Calibri"/>
      <family val="2"/>
    </font>
    <font>
      <b/>
      <sz val="14"/>
      <color rgb="FF000000"/>
      <name val="Calibri"/>
      <family val="2"/>
    </font>
    <font>
      <sz val="12"/>
      <color theme="0"/>
      <name val="Aptos Narrow"/>
      <family val="2"/>
      <scheme val="minor"/>
    </font>
    <font>
      <b/>
      <sz val="11"/>
      <color theme="0"/>
      <name val="Calibri"/>
      <family val="2"/>
    </font>
    <font>
      <i/>
      <sz val="12"/>
      <color theme="0"/>
      <name val="Aptos Narrow"/>
      <family val="2"/>
      <scheme val="minor"/>
    </font>
    <font>
      <b/>
      <i/>
      <sz val="10"/>
      <color theme="1"/>
      <name val="Calibri"/>
      <family val="2"/>
    </font>
    <font>
      <i/>
      <sz val="10"/>
      <color theme="6" tint="0.39997558519241921"/>
      <name val="Calibri"/>
      <family val="2"/>
    </font>
    <font>
      <sz val="10"/>
      <color rgb="FF008000"/>
      <name val="Calibri"/>
      <family val="2"/>
    </font>
    <font>
      <i/>
      <sz val="10"/>
      <color rgb="FF000000"/>
      <name val="Calibri"/>
      <family val="2"/>
    </font>
    <font>
      <b/>
      <sz val="10"/>
      <color rgb="FF000000"/>
      <name val="Calibri"/>
      <family val="2"/>
    </font>
    <font>
      <i/>
      <sz val="10"/>
      <color rgb="FF0432FF"/>
      <name val="Calibri"/>
      <family val="2"/>
    </font>
    <font>
      <b/>
      <sz val="12"/>
      <color theme="1"/>
      <name val="Calibri"/>
      <family val="2"/>
    </font>
    <font>
      <b/>
      <sz val="9"/>
      <color theme="1"/>
      <name val="Calibri"/>
      <family val="2"/>
    </font>
    <font>
      <sz val="9"/>
      <color theme="1"/>
      <name val="Calibri"/>
      <family val="2"/>
    </font>
    <font>
      <i/>
      <sz val="9"/>
      <color rgb="FF000000"/>
      <name val="Calibri"/>
      <family val="2"/>
    </font>
    <font>
      <b/>
      <sz val="10"/>
      <color rgb="FF0432FF"/>
      <name val="Calibri"/>
      <family val="2"/>
    </font>
    <font>
      <b/>
      <sz val="10"/>
      <color rgb="FF008000"/>
      <name val="Calibri"/>
      <family val="2"/>
    </font>
    <font>
      <sz val="9"/>
      <color rgb="FF0432FF"/>
      <name val="Calibri"/>
      <family val="2"/>
    </font>
    <font>
      <sz val="9"/>
      <color rgb="FF008000"/>
      <name val="Calibri"/>
      <family val="2"/>
    </font>
    <font>
      <sz val="9"/>
      <color rgb="FF000000"/>
      <name val="Calibri"/>
      <family val="2"/>
    </font>
    <font>
      <b/>
      <sz val="26"/>
      <color theme="1"/>
      <name val="Calibri"/>
      <family val="2"/>
    </font>
    <font>
      <i/>
      <sz val="12"/>
      <color theme="1"/>
      <name val="Calibri"/>
      <family val="2"/>
    </font>
  </fonts>
  <fills count="8">
    <fill>
      <patternFill patternType="none"/>
    </fill>
    <fill>
      <patternFill patternType="gray125"/>
    </fill>
    <fill>
      <patternFill patternType="solid">
        <fgColor rgb="FFD9E2F3"/>
        <bgColor indexed="64"/>
      </patternFill>
    </fill>
    <fill>
      <patternFill patternType="solid">
        <fgColor theme="3" tint="9.9978637043366805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153D64"/>
        <bgColor indexed="64"/>
      </patternFill>
    </fill>
    <fill>
      <patternFill patternType="solid">
        <fgColor rgb="FFFFFF00"/>
        <bgColor indexed="64"/>
      </patternFill>
    </fill>
  </fills>
  <borders count="73">
    <border>
      <left/>
      <right/>
      <top/>
      <bottom/>
      <diagonal/>
    </border>
    <border>
      <left/>
      <right/>
      <top style="thin">
        <color auto="1"/>
      </top>
      <bottom/>
      <diagonal/>
    </border>
    <border>
      <left/>
      <right/>
      <top style="thin">
        <color auto="1"/>
      </top>
      <bottom style="thin">
        <color auto="1"/>
      </bottom>
      <diagonal/>
    </border>
    <border>
      <left/>
      <right/>
      <top style="thin">
        <color auto="1"/>
      </top>
      <bottom style="double">
        <color auto="1"/>
      </bottom>
      <diagonal/>
    </border>
    <border>
      <left/>
      <right style="thin">
        <color indexed="64"/>
      </right>
      <top style="thin">
        <color auto="1"/>
      </top>
      <bottom/>
      <diagonal/>
    </border>
    <border>
      <left/>
      <right style="dashed">
        <color indexed="64"/>
      </right>
      <top/>
      <bottom/>
      <diagonal/>
    </border>
    <border>
      <left style="thin">
        <color indexed="64"/>
      </left>
      <right/>
      <top style="thin">
        <color indexed="64"/>
      </top>
      <bottom/>
      <diagonal/>
    </border>
    <border>
      <left/>
      <right/>
      <top/>
      <bottom style="thin">
        <color indexed="64"/>
      </bottom>
      <diagonal/>
    </border>
    <border>
      <left/>
      <right style="dashed">
        <color indexed="64"/>
      </right>
      <top style="thin">
        <color auto="1"/>
      </top>
      <bottom/>
      <diagonal/>
    </border>
    <border>
      <left/>
      <right/>
      <top style="thin">
        <color rgb="FFD9D9D9"/>
      </top>
      <bottom style="thin">
        <color rgb="FFD9D9D9"/>
      </bottom>
      <diagonal/>
    </border>
    <border>
      <left/>
      <right/>
      <top style="thin">
        <color rgb="FFD9D9D9"/>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808080"/>
      </top>
      <bottom style="thin">
        <color rgb="FFD9D9D9"/>
      </bottom>
      <diagonal/>
    </border>
    <border>
      <left style="thin">
        <color rgb="FFD9D9D9"/>
      </left>
      <right style="thin">
        <color rgb="FFD9D9D9"/>
      </right>
      <top style="thin">
        <color rgb="FFD9D9D9"/>
      </top>
      <bottom style="thin">
        <color rgb="FF808080"/>
      </bottom>
      <diagonal/>
    </border>
    <border>
      <left style="thin">
        <color rgb="FF808080"/>
      </left>
      <right style="thin">
        <color rgb="FFD9D9D9"/>
      </right>
      <top style="thin">
        <color rgb="FF808080"/>
      </top>
      <bottom style="thin">
        <color rgb="FFD9D9D9"/>
      </bottom>
      <diagonal/>
    </border>
    <border>
      <left style="thin">
        <color rgb="FF808080"/>
      </left>
      <right style="thin">
        <color rgb="FFD9D9D9"/>
      </right>
      <top style="thin">
        <color rgb="FFD9D9D9"/>
      </top>
      <bottom style="thin">
        <color rgb="FFD9D9D9"/>
      </bottom>
      <diagonal/>
    </border>
    <border>
      <left style="thin">
        <color rgb="FF808080"/>
      </left>
      <right style="thin">
        <color rgb="FFD9D9D9"/>
      </right>
      <top style="thin">
        <color rgb="FFD9D9D9"/>
      </top>
      <bottom style="thin">
        <color rgb="FF808080"/>
      </bottom>
      <diagonal/>
    </border>
    <border>
      <left style="thin">
        <color rgb="FFD9D9D9"/>
      </left>
      <right style="thin">
        <color rgb="FF808080"/>
      </right>
      <top style="thin">
        <color rgb="FF808080"/>
      </top>
      <bottom style="thin">
        <color rgb="FFD9D9D9"/>
      </bottom>
      <diagonal/>
    </border>
    <border>
      <left style="thin">
        <color rgb="FFD9D9D9"/>
      </left>
      <right style="thin">
        <color rgb="FF808080"/>
      </right>
      <top style="thin">
        <color rgb="FFD9D9D9"/>
      </top>
      <bottom style="thin">
        <color rgb="FFD9D9D9"/>
      </bottom>
      <diagonal/>
    </border>
    <border>
      <left style="thin">
        <color rgb="FFD9D9D9"/>
      </left>
      <right style="thin">
        <color rgb="FF808080"/>
      </right>
      <top style="thin">
        <color rgb="FFD9D9D9"/>
      </top>
      <bottom style="thin">
        <color rgb="FF808080"/>
      </bottom>
      <diagonal/>
    </border>
    <border>
      <left/>
      <right/>
      <top/>
      <bottom style="thin">
        <color rgb="FFBFBFBF"/>
      </bottom>
      <diagonal/>
    </border>
    <border>
      <left style="dashed">
        <color rgb="FF808080"/>
      </left>
      <right/>
      <top/>
      <bottom/>
      <diagonal/>
    </border>
    <border>
      <left style="dashed">
        <color rgb="FF808080"/>
      </left>
      <right/>
      <top/>
      <bottom style="thin">
        <color rgb="FFBFBFBF"/>
      </bottom>
      <diagonal/>
    </border>
    <border>
      <left/>
      <right/>
      <top style="thin">
        <color auto="1"/>
      </top>
      <bottom style="thin">
        <color rgb="FFD9D9D9"/>
      </bottom>
      <diagonal/>
    </border>
    <border>
      <left/>
      <right/>
      <top style="thin">
        <color rgb="FFD9D9D9"/>
      </top>
      <bottom style="thin">
        <color rgb="FFBFBFBF"/>
      </bottom>
      <diagonal/>
    </border>
    <border>
      <left/>
      <right/>
      <top style="thin">
        <color rgb="FFBFBFBF"/>
      </top>
      <bottom/>
      <diagonal/>
    </border>
    <border>
      <left style="thin">
        <color rgb="FFBFBFBF"/>
      </left>
      <right/>
      <top style="thin">
        <color rgb="FFBFBFBF"/>
      </top>
      <bottom/>
      <diagonal/>
    </border>
    <border>
      <left style="thin">
        <color rgb="FFBFBFBF"/>
      </left>
      <right/>
      <top/>
      <bottom/>
      <diagonal/>
    </border>
    <border>
      <left style="thin">
        <color rgb="FFBFBFBF"/>
      </left>
      <right/>
      <top/>
      <bottom style="thin">
        <color rgb="FFBFBFBF"/>
      </bottom>
      <diagonal/>
    </border>
    <border>
      <left/>
      <right style="thin">
        <color rgb="FFBFBFBF"/>
      </right>
      <top style="thin">
        <color rgb="FFBFBFBF"/>
      </top>
      <bottom/>
      <diagonal/>
    </border>
    <border>
      <left/>
      <right style="thin">
        <color rgb="FFBFBFBF"/>
      </right>
      <top/>
      <bottom/>
      <diagonal/>
    </border>
    <border>
      <left/>
      <right style="thin">
        <color rgb="FFBFBFBF"/>
      </right>
      <top/>
      <bottom style="thin">
        <color rgb="FFBFBFBF"/>
      </bottom>
      <diagonal/>
    </border>
    <border>
      <left/>
      <right/>
      <top/>
      <bottom style="hair">
        <color indexed="64"/>
      </bottom>
      <diagonal/>
    </border>
    <border>
      <left style="dashed">
        <color rgb="FF808080"/>
      </left>
      <right/>
      <top/>
      <bottom style="hair">
        <color indexed="64"/>
      </bottom>
      <diagonal/>
    </border>
    <border>
      <left/>
      <right/>
      <top style="thin">
        <color rgb="FF000000"/>
      </top>
      <bottom/>
      <diagonal/>
    </border>
    <border>
      <left style="dashed">
        <color rgb="FF808080"/>
      </left>
      <right/>
      <top style="thin">
        <color rgb="FF000000"/>
      </top>
      <bottom/>
      <diagonal/>
    </border>
    <border>
      <left/>
      <right/>
      <top/>
      <bottom style="thin">
        <color rgb="FF000000"/>
      </bottom>
      <diagonal/>
    </border>
    <border>
      <left style="dashed">
        <color rgb="FF808080"/>
      </left>
      <right/>
      <top/>
      <bottom style="thin">
        <color rgb="FF000000"/>
      </bottom>
      <diagonal/>
    </border>
    <border>
      <left/>
      <right/>
      <top style="thin">
        <color rgb="FF000000"/>
      </top>
      <bottom style="double">
        <color rgb="FF000000"/>
      </bottom>
      <diagonal/>
    </border>
    <border>
      <left style="dashed">
        <color rgb="FF808080"/>
      </left>
      <right/>
      <top style="thin">
        <color rgb="FF000000"/>
      </top>
      <bottom style="double">
        <color rgb="FF000000"/>
      </bottom>
      <diagonal/>
    </border>
    <border>
      <left/>
      <right/>
      <top style="thin">
        <color rgb="FFBFBFBF"/>
      </top>
      <bottom style="thin">
        <color rgb="FF000000"/>
      </bottom>
      <diagonal/>
    </border>
    <border>
      <left style="dashed">
        <color rgb="FF808080"/>
      </left>
      <right/>
      <top style="thin">
        <color rgb="FFBFBFBF"/>
      </top>
      <bottom style="thin">
        <color rgb="FF000000"/>
      </bottom>
      <diagonal/>
    </border>
    <border>
      <left/>
      <right/>
      <top/>
      <bottom style="thin">
        <color rgb="FF808080"/>
      </bottom>
      <diagonal/>
    </border>
    <border>
      <left/>
      <right style="thin">
        <color rgb="FF808080"/>
      </right>
      <top/>
      <bottom/>
      <diagonal/>
    </border>
    <border>
      <left/>
      <right style="thin">
        <color rgb="FF808080"/>
      </right>
      <top style="thin">
        <color rgb="FFD9D9D9"/>
      </top>
      <bottom style="thin">
        <color rgb="FFD9D9D9"/>
      </bottom>
      <diagonal/>
    </border>
    <border>
      <left style="thin">
        <color rgb="FFD9D9D9"/>
      </left>
      <right style="thin">
        <color rgb="FF808080"/>
      </right>
      <top/>
      <bottom style="thin">
        <color rgb="FFD9D9D9"/>
      </bottom>
      <diagonal/>
    </border>
    <border>
      <left style="thin">
        <color rgb="FFD9D9D9"/>
      </left>
      <right style="thin">
        <color rgb="FFD9D9D9"/>
      </right>
      <top style="thin">
        <color rgb="FF808080"/>
      </top>
      <bottom style="thin">
        <color rgb="FF000000"/>
      </bottom>
      <diagonal/>
    </border>
    <border>
      <left style="thin">
        <color rgb="FFD9D9D9"/>
      </left>
      <right style="thin">
        <color rgb="FF808080"/>
      </right>
      <top style="thin">
        <color rgb="FF808080"/>
      </top>
      <bottom style="thin">
        <color rgb="FF000000"/>
      </bottom>
      <diagonal/>
    </border>
    <border>
      <left/>
      <right style="thin">
        <color rgb="FFD9D9D9"/>
      </right>
      <top style="thin">
        <color rgb="FF808080"/>
      </top>
      <bottom style="thin">
        <color rgb="FF000000"/>
      </bottom>
      <diagonal/>
    </border>
    <border>
      <left/>
      <right style="thin">
        <color rgb="FFD9D9D9"/>
      </right>
      <top/>
      <bottom style="thin">
        <color rgb="FFD9D9D9"/>
      </bottom>
      <diagonal/>
    </border>
    <border>
      <left/>
      <right style="thin">
        <color rgb="FFD9D9D9"/>
      </right>
      <top style="thin">
        <color rgb="FFD9D9D9"/>
      </top>
      <bottom style="thin">
        <color rgb="FF808080"/>
      </bottom>
      <diagonal/>
    </border>
    <border>
      <left style="thin">
        <color rgb="FF808080"/>
      </left>
      <right style="thin">
        <color rgb="FF000000"/>
      </right>
      <top style="thin">
        <color rgb="FF808080"/>
      </top>
      <bottom style="thin">
        <color rgb="FF000000"/>
      </bottom>
      <diagonal/>
    </border>
    <border>
      <left style="thin">
        <color rgb="FF808080"/>
      </left>
      <right style="thin">
        <color rgb="FF000000"/>
      </right>
      <top/>
      <bottom style="thin">
        <color rgb="FFD9D9D9"/>
      </bottom>
      <diagonal/>
    </border>
    <border>
      <left style="thin">
        <color rgb="FF808080"/>
      </left>
      <right style="thin">
        <color rgb="FF000000"/>
      </right>
      <top style="thin">
        <color rgb="FFD9D9D9"/>
      </top>
      <bottom style="thin">
        <color rgb="FFD9D9D9"/>
      </bottom>
      <diagonal/>
    </border>
    <border>
      <left style="thin">
        <color rgb="FF808080"/>
      </left>
      <right style="thin">
        <color rgb="FF000000"/>
      </right>
      <top style="thin">
        <color rgb="FFD9D9D9"/>
      </top>
      <bottom style="thin">
        <color rgb="FF808080"/>
      </bottom>
      <diagonal/>
    </border>
    <border>
      <left style="hair">
        <color indexed="64"/>
      </left>
      <right style="hair">
        <color indexed="64"/>
      </right>
      <top style="hair">
        <color indexed="64"/>
      </top>
      <bottom style="hair">
        <color indexed="64"/>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808080"/>
      </bottom>
      <diagonal/>
    </border>
    <border>
      <left style="hair">
        <color indexed="64"/>
      </left>
      <right style="thin">
        <color rgb="FFD9D9D9"/>
      </right>
      <top style="hair">
        <color indexed="64"/>
      </top>
      <bottom style="thin">
        <color rgb="FFD9D9D9"/>
      </bottom>
      <diagonal/>
    </border>
    <border>
      <left style="thin">
        <color rgb="FFD9D9D9"/>
      </left>
      <right style="thin">
        <color rgb="FFD9D9D9"/>
      </right>
      <top style="hair">
        <color indexed="64"/>
      </top>
      <bottom/>
      <diagonal/>
    </border>
    <border>
      <left style="thin">
        <color rgb="FFD9D9D9"/>
      </left>
      <right style="hair">
        <color indexed="64"/>
      </right>
      <top style="hair">
        <color indexed="64"/>
      </top>
      <bottom style="thin">
        <color rgb="FFD9D9D9"/>
      </bottom>
      <diagonal/>
    </border>
    <border>
      <left style="hair">
        <color indexed="64"/>
      </left>
      <right/>
      <top style="thin">
        <color rgb="FFD9D9D9"/>
      </top>
      <bottom style="thin">
        <color rgb="FFD9D9D9"/>
      </bottom>
      <diagonal/>
    </border>
    <border>
      <left/>
      <right style="hair">
        <color indexed="64"/>
      </right>
      <top style="thin">
        <color rgb="FFD9D9D9"/>
      </top>
      <bottom style="thin">
        <color rgb="FFD9D9D9"/>
      </bottom>
      <diagonal/>
    </border>
    <border>
      <left style="hair">
        <color indexed="64"/>
      </left>
      <right style="thin">
        <color rgb="FFD9D9D9"/>
      </right>
      <top style="thin">
        <color rgb="FFD9D9D9"/>
      </top>
      <bottom style="hair">
        <color indexed="64"/>
      </bottom>
      <diagonal/>
    </border>
    <border>
      <left style="thin">
        <color rgb="FFD9D9D9"/>
      </left>
      <right style="thin">
        <color rgb="FFD9D9D9"/>
      </right>
      <top/>
      <bottom style="hair">
        <color indexed="64"/>
      </bottom>
      <diagonal/>
    </border>
    <border>
      <left style="thin">
        <color rgb="FFD9D9D9"/>
      </left>
      <right style="hair">
        <color indexed="64"/>
      </right>
      <top style="thin">
        <color rgb="FFD9D9D9"/>
      </top>
      <bottom style="hair">
        <color indexed="64"/>
      </bottom>
      <diagonal/>
    </border>
    <border>
      <left/>
      <right/>
      <top/>
      <bottom style="double">
        <color rgb="FF000000"/>
      </bottom>
      <diagonal/>
    </border>
    <border>
      <left style="thin">
        <color rgb="FFD9D9D9"/>
      </left>
      <right style="hair">
        <color indexed="64"/>
      </right>
      <top style="thin">
        <color rgb="FF808080"/>
      </top>
      <bottom style="thin">
        <color rgb="FFD9D9D9"/>
      </bottom>
      <diagonal/>
    </border>
    <border>
      <left style="thin">
        <color rgb="FFD9D9D9"/>
      </left>
      <right style="hair">
        <color indexed="64"/>
      </right>
      <top style="thin">
        <color rgb="FFD9D9D9"/>
      </top>
      <bottom style="thin">
        <color rgb="FFD9D9D9"/>
      </bottom>
      <diagonal/>
    </border>
    <border>
      <left style="thin">
        <color rgb="FFD9D9D9"/>
      </left>
      <right style="hair">
        <color indexed="64"/>
      </right>
      <top style="thin">
        <color rgb="FFD9D9D9"/>
      </top>
      <bottom style="thin">
        <color rgb="FF808080"/>
      </bottom>
      <diagonal/>
    </border>
    <border>
      <left style="thin">
        <color rgb="FF808080"/>
      </left>
      <right style="thin">
        <color rgb="FFD9D9D9"/>
      </right>
      <top style="thin">
        <color rgb="FFD9D9D9"/>
      </top>
      <bottom/>
      <diagonal/>
    </border>
    <border>
      <left style="thin">
        <color rgb="FFD9D9D9"/>
      </left>
      <right style="thin">
        <color rgb="FF808080"/>
      </right>
      <top style="thin">
        <color rgb="FFD9D9D9"/>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295">
    <xf numFmtId="0" fontId="0" fillId="0" borderId="0" xfId="0"/>
    <xf numFmtId="0" fontId="2" fillId="0" borderId="0" xfId="0" applyFont="1"/>
    <xf numFmtId="0" fontId="2" fillId="0" borderId="0" xfId="0" applyFont="1" applyAlignment="1">
      <alignment horizontal="right"/>
    </xf>
    <xf numFmtId="166" fontId="2" fillId="0" borderId="0" xfId="0" applyNumberFormat="1" applyFont="1"/>
    <xf numFmtId="166" fontId="2" fillId="0" borderId="0" xfId="0" applyNumberFormat="1" applyFont="1" applyAlignment="1">
      <alignment horizontal="right"/>
    </xf>
    <xf numFmtId="166" fontId="5" fillId="0" borderId="0" xfId="0" applyNumberFormat="1" applyFont="1"/>
    <xf numFmtId="166" fontId="3" fillId="0" borderId="2" xfId="0" applyNumberFormat="1" applyFont="1" applyBorder="1" applyAlignment="1">
      <alignment horizontal="center"/>
    </xf>
    <xf numFmtId="166" fontId="9" fillId="0" borderId="0" xfId="0" applyNumberFormat="1" applyFont="1"/>
    <xf numFmtId="168" fontId="2" fillId="0" borderId="0" xfId="0" applyNumberFormat="1" applyFont="1"/>
    <xf numFmtId="168" fontId="2" fillId="0" borderId="0" xfId="0" applyNumberFormat="1" applyFont="1" applyAlignment="1">
      <alignment horizontal="right"/>
    </xf>
    <xf numFmtId="9" fontId="9" fillId="0" borderId="0" xfId="2" applyFont="1"/>
    <xf numFmtId="9" fontId="2" fillId="0" borderId="0" xfId="2" applyFont="1"/>
    <xf numFmtId="9" fontId="2" fillId="0" borderId="0" xfId="2" applyFont="1" applyAlignment="1">
      <alignment horizontal="right"/>
    </xf>
    <xf numFmtId="168" fontId="6" fillId="0" borderId="0" xfId="0" applyNumberFormat="1" applyFont="1" applyAlignment="1">
      <alignment horizontal="right"/>
    </xf>
    <xf numFmtId="9" fontId="2" fillId="0" borderId="0" xfId="2" quotePrefix="1" applyFont="1" applyAlignment="1">
      <alignment horizontal="right"/>
    </xf>
    <xf numFmtId="168" fontId="10" fillId="0" borderId="0" xfId="0" applyNumberFormat="1" applyFont="1" applyAlignment="1">
      <alignment horizontal="right"/>
    </xf>
    <xf numFmtId="164" fontId="10" fillId="0" borderId="0" xfId="2" applyNumberFormat="1" applyFont="1" applyAlignment="1">
      <alignment horizontal="right"/>
    </xf>
    <xf numFmtId="166" fontId="3" fillId="0" borderId="7" xfId="0" applyNumberFormat="1" applyFont="1" applyBorder="1"/>
    <xf numFmtId="166" fontId="2" fillId="0" borderId="7" xfId="0" applyNumberFormat="1" applyFont="1" applyBorder="1"/>
    <xf numFmtId="168" fontId="6" fillId="0" borderId="7" xfId="0" applyNumberFormat="1" applyFont="1" applyBorder="1" applyAlignment="1">
      <alignment horizontal="right"/>
    </xf>
    <xf numFmtId="164" fontId="6" fillId="0" borderId="0" xfId="2" applyNumberFormat="1" applyFont="1" applyAlignment="1">
      <alignment horizontal="right"/>
    </xf>
    <xf numFmtId="166" fontId="12" fillId="0" borderId="0" xfId="0" applyNumberFormat="1" applyFont="1" applyAlignment="1">
      <alignment horizontal="left" vertical="center" wrapText="1"/>
    </xf>
    <xf numFmtId="166" fontId="2" fillId="0" borderId="0" xfId="0" applyNumberFormat="1" applyFont="1" applyAlignment="1">
      <alignment horizontal="left" vertical="center" wrapText="1"/>
    </xf>
    <xf numFmtId="15" fontId="2" fillId="0" borderId="0" xfId="0" applyNumberFormat="1" applyFont="1" applyAlignment="1">
      <alignment horizontal="left" vertical="center" wrapText="1"/>
    </xf>
    <xf numFmtId="164" fontId="2" fillId="0" borderId="0" xfId="2" applyNumberFormat="1" applyFont="1" applyAlignment="1">
      <alignment horizontal="right"/>
    </xf>
    <xf numFmtId="166" fontId="3" fillId="0" borderId="0" xfId="0" applyNumberFormat="1" applyFont="1" applyAlignment="1">
      <alignment horizontal="center"/>
    </xf>
    <xf numFmtId="166" fontId="3" fillId="0" borderId="1" xfId="0" applyNumberFormat="1" applyFont="1" applyBorder="1" applyAlignment="1">
      <alignment horizontal="center"/>
    </xf>
    <xf numFmtId="166" fontId="3" fillId="0" borderId="0" xfId="0" applyNumberFormat="1" applyFont="1"/>
    <xf numFmtId="166" fontId="6" fillId="0" borderId="0" xfId="0" applyNumberFormat="1" applyFont="1" applyAlignment="1">
      <alignment horizontal="right"/>
    </xf>
    <xf numFmtId="166" fontId="4" fillId="0" borderId="0" xfId="0" applyNumberFormat="1" applyFont="1" applyAlignment="1">
      <alignment horizontal="right"/>
    </xf>
    <xf numFmtId="10" fontId="2" fillId="0" borderId="0" xfId="2" applyNumberFormat="1" applyFont="1" applyAlignment="1">
      <alignment horizontal="right"/>
    </xf>
    <xf numFmtId="10" fontId="15" fillId="0" borderId="0" xfId="2" applyNumberFormat="1" applyFont="1" applyAlignment="1">
      <alignment horizontal="right"/>
    </xf>
    <xf numFmtId="10" fontId="6" fillId="0" borderId="0" xfId="2" applyNumberFormat="1" applyFont="1" applyAlignment="1">
      <alignment horizontal="right"/>
    </xf>
    <xf numFmtId="10" fontId="3" fillId="0" borderId="3" xfId="2" applyNumberFormat="1" applyFont="1" applyBorder="1" applyAlignment="1">
      <alignment horizontal="right"/>
    </xf>
    <xf numFmtId="169" fontId="6" fillId="0" borderId="0" xfId="2" applyNumberFormat="1" applyFont="1" applyAlignment="1">
      <alignment horizontal="right"/>
    </xf>
    <xf numFmtId="3" fontId="2" fillId="0" borderId="0" xfId="0" applyNumberFormat="1" applyFont="1"/>
    <xf numFmtId="3" fontId="2" fillId="0" borderId="0" xfId="0" applyNumberFormat="1" applyFont="1" applyAlignment="1">
      <alignment horizontal="right"/>
    </xf>
    <xf numFmtId="3" fontId="6" fillId="0" borderId="0" xfId="0" applyNumberFormat="1" applyFont="1" applyAlignment="1">
      <alignment horizontal="right"/>
    </xf>
    <xf numFmtId="37" fontId="6" fillId="0" borderId="0" xfId="0" applyNumberFormat="1" applyFont="1" applyAlignment="1">
      <alignment horizontal="right"/>
    </xf>
    <xf numFmtId="170" fontId="6" fillId="0" borderId="0" xfId="2" applyNumberFormat="1" applyFont="1" applyAlignment="1">
      <alignment horizontal="right"/>
    </xf>
    <xf numFmtId="171" fontId="6" fillId="0" borderId="0" xfId="0" applyNumberFormat="1" applyFont="1" applyAlignment="1">
      <alignment horizontal="right"/>
    </xf>
    <xf numFmtId="164" fontId="6" fillId="0" borderId="0" xfId="2" applyNumberFormat="1" applyFont="1" applyBorder="1" applyAlignment="1">
      <alignment horizontal="right"/>
    </xf>
    <xf numFmtId="10" fontId="6" fillId="0" borderId="0" xfId="2" applyNumberFormat="1" applyFont="1" applyBorder="1" applyAlignment="1">
      <alignment horizontal="right"/>
    </xf>
    <xf numFmtId="9" fontId="2" fillId="0" borderId="0" xfId="2" applyFont="1" applyBorder="1" applyAlignment="1">
      <alignment horizontal="right"/>
    </xf>
    <xf numFmtId="166" fontId="3" fillId="0" borderId="8" xfId="0" applyNumberFormat="1" applyFont="1" applyBorder="1" applyAlignment="1">
      <alignment horizontal="center"/>
    </xf>
    <xf numFmtId="166" fontId="2" fillId="0" borderId="5" xfId="0" applyNumberFormat="1" applyFont="1" applyBorder="1" applyAlignment="1">
      <alignment horizontal="right"/>
    </xf>
    <xf numFmtId="166" fontId="4" fillId="0" borderId="5" xfId="0" applyNumberFormat="1" applyFont="1" applyBorder="1" applyAlignment="1">
      <alignment horizontal="right"/>
    </xf>
    <xf numFmtId="9" fontId="2" fillId="0" borderId="5" xfId="2" applyFont="1" applyBorder="1" applyAlignment="1">
      <alignment horizontal="right"/>
    </xf>
    <xf numFmtId="166" fontId="13" fillId="0" borderId="0" xfId="3" applyNumberFormat="1" applyFont="1" applyAlignment="1">
      <alignment horizontal="left" vertical="center" wrapText="1"/>
    </xf>
    <xf numFmtId="37" fontId="20" fillId="0" borderId="0" xfId="0" applyNumberFormat="1" applyFont="1" applyAlignment="1">
      <alignment horizontal="right"/>
    </xf>
    <xf numFmtId="166" fontId="18" fillId="0" borderId="0" xfId="3" applyNumberFormat="1" applyFont="1" applyAlignment="1">
      <alignment horizontal="left" vertical="center" wrapText="1"/>
    </xf>
    <xf numFmtId="0" fontId="14" fillId="0" borderId="0" xfId="0" applyFont="1" applyAlignment="1">
      <alignment horizontal="left"/>
    </xf>
    <xf numFmtId="9" fontId="21" fillId="0" borderId="0" xfId="2" applyFont="1" applyAlignment="1">
      <alignment horizontal="left"/>
    </xf>
    <xf numFmtId="164" fontId="21" fillId="0" borderId="0" xfId="2" applyNumberFormat="1" applyFont="1" applyAlignment="1">
      <alignment horizontal="left"/>
    </xf>
    <xf numFmtId="1" fontId="21" fillId="0" borderId="0" xfId="0" applyNumberFormat="1" applyFont="1" applyAlignment="1">
      <alignment horizontal="left"/>
    </xf>
    <xf numFmtId="0" fontId="11" fillId="0" borderId="0" xfId="0" applyFont="1" applyAlignment="1">
      <alignment horizontal="left"/>
    </xf>
    <xf numFmtId="0" fontId="19" fillId="0" borderId="0" xfId="0" applyFont="1"/>
    <xf numFmtId="166" fontId="16" fillId="3" borderId="0" xfId="0" applyNumberFormat="1" applyFont="1" applyFill="1"/>
    <xf numFmtId="0" fontId="5" fillId="0" borderId="0" xfId="0" applyFont="1"/>
    <xf numFmtId="166" fontId="5" fillId="0" borderId="0" xfId="0" applyNumberFormat="1" applyFont="1" applyAlignment="1">
      <alignment horizontal="center"/>
    </xf>
    <xf numFmtId="166" fontId="5" fillId="0" borderId="7" xfId="0" applyNumberFormat="1" applyFont="1" applyBorder="1" applyAlignment="1">
      <alignment horizontal="center"/>
    </xf>
    <xf numFmtId="166" fontId="22" fillId="6" borderId="0" xfId="0" applyNumberFormat="1" applyFont="1" applyFill="1" applyAlignment="1">
      <alignment horizontal="left" vertical="center"/>
    </xf>
    <xf numFmtId="166" fontId="23" fillId="0" borderId="0" xfId="0" applyNumberFormat="1" applyFont="1"/>
    <xf numFmtId="166" fontId="22" fillId="6" borderId="0" xfId="0" applyNumberFormat="1" applyFont="1" applyFill="1" applyAlignment="1">
      <alignment vertical="center"/>
    </xf>
    <xf numFmtId="0" fontId="22" fillId="6" borderId="0" xfId="0" applyFont="1" applyFill="1" applyAlignment="1">
      <alignment vertical="center"/>
    </xf>
    <xf numFmtId="0" fontId="22" fillId="6" borderId="0" xfId="0" applyFont="1" applyFill="1" applyAlignment="1">
      <alignment horizontal="left" vertical="center"/>
    </xf>
    <xf numFmtId="0" fontId="23" fillId="0" borderId="0" xfId="0" applyFont="1"/>
    <xf numFmtId="166" fontId="22" fillId="6" borderId="0" xfId="0" applyNumberFormat="1" applyFont="1" applyFill="1" applyAlignment="1">
      <alignment horizontal="left" vertical="center" wrapText="1"/>
    </xf>
    <xf numFmtId="166" fontId="3" fillId="0" borderId="14" xfId="0" applyNumberFormat="1" applyFont="1" applyBorder="1" applyAlignment="1">
      <alignment horizontal="left" vertical="top" wrapText="1"/>
    </xf>
    <xf numFmtId="166" fontId="3" fillId="0" borderId="12" xfId="0" applyNumberFormat="1" applyFont="1" applyBorder="1" applyAlignment="1">
      <alignment horizontal="left" vertical="top" wrapText="1"/>
    </xf>
    <xf numFmtId="166" fontId="3" fillId="0" borderId="17" xfId="0" applyNumberFormat="1" applyFont="1" applyBorder="1" applyAlignment="1">
      <alignment horizontal="left" vertical="top" wrapText="1"/>
    </xf>
    <xf numFmtId="166" fontId="2" fillId="0" borderId="15" xfId="0" applyNumberFormat="1" applyFont="1" applyBorder="1" applyAlignment="1">
      <alignment horizontal="left" vertical="top" wrapText="1"/>
    </xf>
    <xf numFmtId="166" fontId="13" fillId="0" borderId="11" xfId="3" applyNumberFormat="1" applyFont="1" applyBorder="1" applyAlignment="1">
      <alignment horizontal="left" vertical="top" wrapText="1"/>
    </xf>
    <xf numFmtId="166" fontId="12" fillId="0" borderId="11" xfId="0" applyNumberFormat="1" applyFont="1" applyBorder="1" applyAlignment="1">
      <alignment horizontal="left" vertical="top" wrapText="1"/>
    </xf>
    <xf numFmtId="15" fontId="2" fillId="0" borderId="11" xfId="0" applyNumberFormat="1" applyFont="1" applyBorder="1" applyAlignment="1">
      <alignment horizontal="left" vertical="top" wrapText="1"/>
    </xf>
    <xf numFmtId="166" fontId="2" fillId="0" borderId="11" xfId="0" applyNumberFormat="1" applyFont="1" applyBorder="1" applyAlignment="1">
      <alignment horizontal="left" vertical="top" wrapText="1"/>
    </xf>
    <xf numFmtId="166" fontId="18" fillId="0" borderId="11" xfId="3" applyNumberFormat="1" applyFont="1" applyBorder="1" applyAlignment="1">
      <alignment horizontal="left" vertical="top" wrapText="1"/>
    </xf>
    <xf numFmtId="166" fontId="2" fillId="0" borderId="18" xfId="0" applyNumberFormat="1" applyFont="1" applyBorder="1" applyAlignment="1">
      <alignment horizontal="left" vertical="top" wrapText="1"/>
    </xf>
    <xf numFmtId="166" fontId="2" fillId="0" borderId="16" xfId="0" applyNumberFormat="1" applyFont="1" applyBorder="1" applyAlignment="1">
      <alignment horizontal="left" vertical="top" wrapText="1"/>
    </xf>
    <xf numFmtId="166" fontId="18" fillId="0" borderId="13" xfId="3" applyNumberFormat="1" applyFont="1" applyBorder="1" applyAlignment="1">
      <alignment horizontal="left" vertical="top" wrapText="1"/>
    </xf>
    <xf numFmtId="166" fontId="12" fillId="0" borderId="13" xfId="0" applyNumberFormat="1" applyFont="1" applyBorder="1" applyAlignment="1">
      <alignment horizontal="left" vertical="top" wrapText="1"/>
    </xf>
    <xf numFmtId="15" fontId="2" fillId="0" borderId="13" xfId="0" applyNumberFormat="1" applyFont="1" applyBorder="1" applyAlignment="1">
      <alignment horizontal="left" vertical="top" wrapText="1"/>
    </xf>
    <xf numFmtId="166" fontId="2" fillId="0" borderId="13" xfId="0" applyNumberFormat="1" applyFont="1" applyBorder="1" applyAlignment="1">
      <alignment horizontal="left" vertical="top" wrapText="1"/>
    </xf>
    <xf numFmtId="166" fontId="2" fillId="0" borderId="19" xfId="0" applyNumberFormat="1" applyFont="1" applyBorder="1" applyAlignment="1">
      <alignment horizontal="left" vertical="top" wrapText="1"/>
    </xf>
    <xf numFmtId="10" fontId="2" fillId="0" borderId="11" xfId="2" applyNumberFormat="1" applyFont="1" applyBorder="1" applyAlignment="1">
      <alignment horizontal="left" vertical="top" wrapText="1"/>
    </xf>
    <xf numFmtId="172" fontId="2" fillId="0" borderId="11" xfId="0" applyNumberFormat="1" applyFont="1" applyBorder="1" applyAlignment="1">
      <alignment horizontal="left" vertical="top" wrapText="1"/>
    </xf>
    <xf numFmtId="10" fontId="2" fillId="0" borderId="13" xfId="0" applyNumberFormat="1" applyFont="1" applyBorder="1" applyAlignment="1">
      <alignment horizontal="left" vertical="top" wrapText="1"/>
    </xf>
    <xf numFmtId="0" fontId="2" fillId="0" borderId="13" xfId="0" applyFont="1" applyBorder="1" applyAlignment="1">
      <alignment horizontal="left" vertical="top" wrapText="1"/>
    </xf>
    <xf numFmtId="166" fontId="3" fillId="0" borderId="15" xfId="0" applyNumberFormat="1" applyFont="1" applyBorder="1" applyAlignment="1">
      <alignment horizontal="left" vertical="top" wrapText="1"/>
    </xf>
    <xf numFmtId="10" fontId="2" fillId="0" borderId="11" xfId="0" applyNumberFormat="1" applyFont="1" applyBorder="1" applyAlignment="1">
      <alignment horizontal="left" vertical="top" wrapText="1"/>
    </xf>
    <xf numFmtId="0" fontId="17" fillId="0" borderId="15" xfId="0" applyFont="1" applyBorder="1" applyAlignment="1">
      <alignment horizontal="left" vertical="top" wrapText="1"/>
    </xf>
    <xf numFmtId="0" fontId="12" fillId="0" borderId="11" xfId="0" applyFont="1" applyBorder="1" applyAlignment="1">
      <alignment horizontal="left" vertical="top" wrapText="1"/>
    </xf>
    <xf numFmtId="10" fontId="12" fillId="0" borderId="11" xfId="0" applyNumberFormat="1" applyFont="1" applyBorder="1" applyAlignment="1">
      <alignment horizontal="left" vertical="top" wrapText="1"/>
    </xf>
    <xf numFmtId="0" fontId="12" fillId="0" borderId="11" xfId="0" applyFont="1" applyBorder="1" applyAlignment="1">
      <alignment vertical="top" wrapText="1"/>
    </xf>
    <xf numFmtId="0" fontId="17" fillId="0" borderId="16" xfId="0" applyFont="1" applyBorder="1" applyAlignment="1">
      <alignment horizontal="left" vertical="top" wrapText="1"/>
    </xf>
    <xf numFmtId="0" fontId="12" fillId="0" borderId="13" xfId="0" applyFont="1" applyBorder="1" applyAlignment="1">
      <alignment horizontal="left" vertical="top" wrapText="1"/>
    </xf>
    <xf numFmtId="0" fontId="12" fillId="0" borderId="13" xfId="0" applyFont="1" applyBorder="1" applyAlignment="1">
      <alignment vertical="top" wrapText="1"/>
    </xf>
    <xf numFmtId="166" fontId="2" fillId="0" borderId="20" xfId="0" applyNumberFormat="1" applyFont="1" applyBorder="1"/>
    <xf numFmtId="0" fontId="6" fillId="0" borderId="20" xfId="0" applyFont="1" applyBorder="1" applyAlignment="1">
      <alignment horizontal="right"/>
    </xf>
    <xf numFmtId="166" fontId="2" fillId="0" borderId="20" xfId="0" applyNumberFormat="1" applyFont="1" applyBorder="1" applyAlignment="1">
      <alignment horizontal="right"/>
    </xf>
    <xf numFmtId="3" fontId="2" fillId="0" borderId="20" xfId="0" applyNumberFormat="1" applyFont="1" applyBorder="1"/>
    <xf numFmtId="10" fontId="20" fillId="0" borderId="20" xfId="0" applyNumberFormat="1" applyFont="1" applyBorder="1" applyAlignment="1">
      <alignment horizontal="right"/>
    </xf>
    <xf numFmtId="10" fontId="6" fillId="0" borderId="20" xfId="0" applyNumberFormat="1" applyFont="1" applyBorder="1" applyAlignment="1">
      <alignment horizontal="right"/>
    </xf>
    <xf numFmtId="168" fontId="6" fillId="0" borderId="20" xfId="0" applyNumberFormat="1" applyFont="1" applyBorder="1"/>
    <xf numFmtId="168" fontId="10" fillId="0" borderId="20" xfId="0" applyNumberFormat="1" applyFont="1" applyBorder="1"/>
    <xf numFmtId="10" fontId="15" fillId="0" borderId="20" xfId="2" applyNumberFormat="1" applyFont="1" applyBorder="1" applyAlignment="1">
      <alignment horizontal="right"/>
    </xf>
    <xf numFmtId="10" fontId="6" fillId="0" borderId="20" xfId="2" applyNumberFormat="1" applyFont="1" applyBorder="1" applyAlignment="1">
      <alignment horizontal="right"/>
    </xf>
    <xf numFmtId="164" fontId="6" fillId="0" borderId="20" xfId="2" applyNumberFormat="1" applyFont="1" applyBorder="1" applyAlignment="1">
      <alignment horizontal="right"/>
    </xf>
    <xf numFmtId="166" fontId="2" fillId="0" borderId="1" xfId="0" applyNumberFormat="1" applyFont="1" applyBorder="1" applyAlignment="1">
      <alignment horizontal="right"/>
    </xf>
    <xf numFmtId="4" fontId="6" fillId="0" borderId="20" xfId="0" applyNumberFormat="1" applyFont="1" applyBorder="1" applyAlignment="1">
      <alignment horizontal="right"/>
    </xf>
    <xf numFmtId="166" fontId="2" fillId="0" borderId="21" xfId="0" applyNumberFormat="1" applyFont="1" applyBorder="1" applyAlignment="1">
      <alignment horizontal="right"/>
    </xf>
    <xf numFmtId="166" fontId="2" fillId="0" borderId="22" xfId="0" applyNumberFormat="1" applyFont="1" applyBorder="1" applyAlignment="1">
      <alignment horizontal="right"/>
    </xf>
    <xf numFmtId="3" fontId="2" fillId="0" borderId="21" xfId="0" applyNumberFormat="1" applyFont="1" applyBorder="1" applyAlignment="1">
      <alignment horizontal="right"/>
    </xf>
    <xf numFmtId="3" fontId="20" fillId="0" borderId="21" xfId="0" applyNumberFormat="1" applyFont="1" applyBorder="1" applyAlignment="1">
      <alignment horizontal="right"/>
    </xf>
    <xf numFmtId="37" fontId="20" fillId="0" borderId="21" xfId="0" applyNumberFormat="1" applyFont="1" applyBorder="1" applyAlignment="1">
      <alignment horizontal="right"/>
    </xf>
    <xf numFmtId="164" fontId="6" fillId="0" borderId="21" xfId="2" applyNumberFormat="1" applyFont="1" applyBorder="1" applyAlignment="1">
      <alignment horizontal="right"/>
    </xf>
    <xf numFmtId="168" fontId="10" fillId="0" borderId="22" xfId="0" applyNumberFormat="1" applyFont="1" applyBorder="1"/>
    <xf numFmtId="10" fontId="6" fillId="0" borderId="21" xfId="2" applyNumberFormat="1" applyFont="1" applyBorder="1" applyAlignment="1">
      <alignment horizontal="right"/>
    </xf>
    <xf numFmtId="10" fontId="6" fillId="0" borderId="22" xfId="2" applyNumberFormat="1" applyFont="1" applyBorder="1" applyAlignment="1">
      <alignment horizontal="right"/>
    </xf>
    <xf numFmtId="164" fontId="6" fillId="0" borderId="22" xfId="2" applyNumberFormat="1" applyFont="1" applyBorder="1" applyAlignment="1">
      <alignment horizontal="right"/>
    </xf>
    <xf numFmtId="166" fontId="22" fillId="6" borderId="0" xfId="0" applyNumberFormat="1" applyFont="1" applyFill="1"/>
    <xf numFmtId="168" fontId="22" fillId="6" borderId="0" xfId="0" applyNumberFormat="1" applyFont="1" applyFill="1" applyAlignment="1">
      <alignment horizontal="right"/>
    </xf>
    <xf numFmtId="166" fontId="10" fillId="0" borderId="23" xfId="0" applyNumberFormat="1" applyFont="1" applyBorder="1"/>
    <xf numFmtId="166" fontId="2" fillId="0" borderId="23" xfId="0" applyNumberFormat="1" applyFont="1" applyBorder="1"/>
    <xf numFmtId="168" fontId="6" fillId="0" borderId="23" xfId="0" applyNumberFormat="1" applyFont="1" applyBorder="1" applyAlignment="1">
      <alignment horizontal="right"/>
    </xf>
    <xf numFmtId="166" fontId="10" fillId="0" borderId="9" xfId="0" applyNumberFormat="1" applyFont="1" applyBorder="1"/>
    <xf numFmtId="166" fontId="2" fillId="0" borderId="9" xfId="0" applyNumberFormat="1" applyFont="1" applyBorder="1"/>
    <xf numFmtId="168" fontId="6" fillId="0" borderId="9" xfId="0" applyNumberFormat="1" applyFont="1" applyBorder="1" applyAlignment="1">
      <alignment horizontal="right"/>
    </xf>
    <xf numFmtId="166" fontId="10" fillId="0" borderId="10" xfId="0" applyNumberFormat="1" applyFont="1" applyBorder="1"/>
    <xf numFmtId="166" fontId="2" fillId="0" borderId="10" xfId="0" applyNumberFormat="1" applyFont="1" applyBorder="1"/>
    <xf numFmtId="168" fontId="10" fillId="0" borderId="10" xfId="0" applyNumberFormat="1" applyFont="1" applyBorder="1" applyAlignment="1">
      <alignment horizontal="right"/>
    </xf>
    <xf numFmtId="166" fontId="10" fillId="0" borderId="24" xfId="0" applyNumberFormat="1" applyFont="1" applyBorder="1"/>
    <xf numFmtId="166" fontId="2" fillId="0" borderId="24" xfId="0" applyNumberFormat="1" applyFont="1" applyBorder="1"/>
    <xf numFmtId="168" fontId="10" fillId="0" borderId="24" xfId="0" applyNumberFormat="1" applyFont="1" applyBorder="1" applyAlignment="1">
      <alignment horizontal="right"/>
    </xf>
    <xf numFmtId="15" fontId="14" fillId="0" borderId="0" xfId="0" applyNumberFormat="1" applyFont="1" applyAlignment="1">
      <alignment horizontal="left"/>
    </xf>
    <xf numFmtId="0" fontId="14" fillId="0" borderId="25" xfId="0" applyFont="1" applyBorder="1" applyAlignment="1">
      <alignment horizontal="left"/>
    </xf>
    <xf numFmtId="0" fontId="14" fillId="0" borderId="20" xfId="0" applyFont="1" applyBorder="1" applyAlignment="1">
      <alignment horizontal="left"/>
    </xf>
    <xf numFmtId="0" fontId="2" fillId="0" borderId="26" xfId="0" applyFont="1" applyBorder="1"/>
    <xf numFmtId="0" fontId="2" fillId="0" borderId="27" xfId="0" applyFont="1" applyBorder="1"/>
    <xf numFmtId="0" fontId="2" fillId="0" borderId="28" xfId="0" applyFont="1" applyBorder="1"/>
    <xf numFmtId="10" fontId="6" fillId="0" borderId="21" xfId="0" applyNumberFormat="1" applyFont="1" applyBorder="1" applyAlignment="1">
      <alignment horizontal="right"/>
    </xf>
    <xf numFmtId="166" fontId="2" fillId="0" borderId="32" xfId="0" applyNumberFormat="1" applyFont="1" applyBorder="1" applyAlignment="1">
      <alignment horizontal="right"/>
    </xf>
    <xf numFmtId="166" fontId="2" fillId="0" borderId="33" xfId="0" applyNumberFormat="1" applyFont="1" applyBorder="1" applyAlignment="1">
      <alignment horizontal="right"/>
    </xf>
    <xf numFmtId="15" fontId="2" fillId="0" borderId="0" xfId="0" applyNumberFormat="1" applyFont="1" applyAlignment="1">
      <alignment horizontal="left"/>
    </xf>
    <xf numFmtId="0" fontId="2" fillId="0" borderId="30" xfId="0" applyFont="1" applyBorder="1"/>
    <xf numFmtId="0" fontId="2" fillId="0" borderId="25" xfId="0" applyFont="1" applyBorder="1"/>
    <xf numFmtId="0" fontId="2" fillId="0" borderId="29" xfId="0" applyFont="1" applyBorder="1"/>
    <xf numFmtId="0" fontId="2" fillId="0" borderId="20" xfId="0" applyFont="1" applyBorder="1"/>
    <xf numFmtId="0" fontId="2" fillId="0" borderId="31" xfId="0" applyFont="1" applyBorder="1"/>
    <xf numFmtId="173" fontId="2" fillId="0" borderId="13" xfId="0" applyNumberFormat="1" applyFont="1" applyBorder="1" applyAlignment="1">
      <alignment horizontal="left" vertical="top" wrapText="1"/>
    </xf>
    <xf numFmtId="0" fontId="3" fillId="0" borderId="0" xfId="0" applyFont="1" applyAlignment="1">
      <alignment horizontal="center"/>
    </xf>
    <xf numFmtId="166" fontId="25" fillId="6" borderId="0" xfId="0" applyNumberFormat="1" applyFont="1" applyFill="1" applyAlignment="1">
      <alignment horizontal="left" vertical="center"/>
    </xf>
    <xf numFmtId="0" fontId="2" fillId="0" borderId="0" xfId="0" applyFont="1" applyAlignment="1">
      <alignment horizontal="center"/>
    </xf>
    <xf numFmtId="3" fontId="15" fillId="0" borderId="0" xfId="0" applyNumberFormat="1" applyFont="1" applyAlignment="1">
      <alignment horizontal="center"/>
    </xf>
    <xf numFmtId="165" fontId="15" fillId="0" borderId="0" xfId="0" applyNumberFormat="1" applyFont="1" applyAlignment="1">
      <alignment horizontal="center"/>
    </xf>
    <xf numFmtId="166" fontId="2" fillId="0" borderId="0" xfId="0" applyNumberFormat="1" applyFont="1" applyAlignment="1">
      <alignment horizontal="center"/>
    </xf>
    <xf numFmtId="10" fontId="20" fillId="0" borderId="0" xfId="0" applyNumberFormat="1" applyFont="1" applyAlignment="1">
      <alignment horizontal="right"/>
    </xf>
    <xf numFmtId="10" fontId="6" fillId="0" borderId="0" xfId="0" applyNumberFormat="1" applyFont="1" applyAlignment="1">
      <alignment horizontal="right"/>
    </xf>
    <xf numFmtId="165" fontId="15" fillId="0" borderId="21" xfId="0" applyNumberFormat="1" applyFont="1" applyBorder="1" applyAlignment="1">
      <alignment horizontal="center"/>
    </xf>
    <xf numFmtId="166" fontId="2" fillId="0" borderId="21" xfId="0" applyNumberFormat="1" applyFont="1" applyBorder="1" applyAlignment="1">
      <alignment horizontal="center"/>
    </xf>
    <xf numFmtId="166" fontId="30" fillId="0" borderId="0" xfId="0" applyNumberFormat="1" applyFont="1" applyAlignment="1">
      <alignment horizontal="center"/>
    </xf>
    <xf numFmtId="166" fontId="30" fillId="0" borderId="21" xfId="0" applyNumberFormat="1" applyFont="1" applyBorder="1" applyAlignment="1">
      <alignment horizontal="center"/>
    </xf>
    <xf numFmtId="165" fontId="30" fillId="0" borderId="0" xfId="0" applyNumberFormat="1" applyFont="1" applyAlignment="1">
      <alignment horizontal="center"/>
    </xf>
    <xf numFmtId="165" fontId="30" fillId="0" borderId="21" xfId="0" applyNumberFormat="1" applyFont="1" applyBorder="1" applyAlignment="1">
      <alignment horizontal="center"/>
    </xf>
    <xf numFmtId="166" fontId="31" fillId="0" borderId="0" xfId="0" applyNumberFormat="1" applyFont="1" applyAlignment="1">
      <alignment horizontal="center"/>
    </xf>
    <xf numFmtId="166" fontId="31" fillId="0" borderId="21" xfId="0" applyNumberFormat="1" applyFont="1" applyBorder="1" applyAlignment="1">
      <alignment horizontal="center"/>
    </xf>
    <xf numFmtId="164" fontId="30" fillId="0" borderId="0" xfId="2" applyNumberFormat="1" applyFont="1" applyBorder="1" applyAlignment="1">
      <alignment horizontal="center"/>
    </xf>
    <xf numFmtId="164" fontId="30" fillId="0" borderId="21" xfId="2" applyNumberFormat="1" applyFont="1" applyBorder="1" applyAlignment="1">
      <alignment horizontal="center"/>
    </xf>
    <xf numFmtId="166" fontId="20" fillId="0" borderId="0" xfId="0" applyNumberFormat="1" applyFont="1" applyAlignment="1">
      <alignment horizontal="center"/>
    </xf>
    <xf numFmtId="166" fontId="20" fillId="0" borderId="21" xfId="0" applyNumberFormat="1" applyFont="1" applyBorder="1" applyAlignment="1">
      <alignment horizontal="center"/>
    </xf>
    <xf numFmtId="166" fontId="31" fillId="0" borderId="34" xfId="0" applyNumberFormat="1" applyFont="1" applyBorder="1" applyAlignment="1">
      <alignment horizontal="center"/>
    </xf>
    <xf numFmtId="10" fontId="15" fillId="0" borderId="0" xfId="0" applyNumberFormat="1" applyFont="1" applyAlignment="1">
      <alignment horizontal="right"/>
    </xf>
    <xf numFmtId="0" fontId="15" fillId="0" borderId="0" xfId="0" applyFont="1" applyAlignment="1">
      <alignment horizontal="right"/>
    </xf>
    <xf numFmtId="164" fontId="15" fillId="0" borderId="0" xfId="2" applyNumberFormat="1" applyFont="1" applyAlignment="1">
      <alignment horizontal="right"/>
    </xf>
    <xf numFmtId="10" fontId="30" fillId="0" borderId="0" xfId="2" applyNumberFormat="1" applyFont="1" applyBorder="1" applyAlignment="1">
      <alignment horizontal="center"/>
    </xf>
    <xf numFmtId="10" fontId="30" fillId="0" borderId="21" xfId="2" applyNumberFormat="1" applyFont="1" applyBorder="1" applyAlignment="1">
      <alignment horizontal="center"/>
    </xf>
    <xf numFmtId="0" fontId="2" fillId="0" borderId="36" xfId="0" applyFont="1" applyBorder="1"/>
    <xf numFmtId="0" fontId="14" fillId="0" borderId="36" xfId="0" applyFont="1" applyBorder="1" applyAlignment="1">
      <alignment horizontal="left"/>
    </xf>
    <xf numFmtId="0" fontId="3" fillId="0" borderId="34" xfId="0" applyFont="1" applyBorder="1"/>
    <xf numFmtId="0" fontId="27" fillId="0" borderId="34" xfId="0" applyFont="1" applyBorder="1" applyAlignment="1">
      <alignment horizontal="left"/>
    </xf>
    <xf numFmtId="166" fontId="31" fillId="0" borderId="35" xfId="0" applyNumberFormat="1" applyFont="1" applyBorder="1" applyAlignment="1">
      <alignment horizontal="center"/>
    </xf>
    <xf numFmtId="0" fontId="3" fillId="0" borderId="34" xfId="0" applyFont="1" applyBorder="1" applyAlignment="1">
      <alignment horizontal="left"/>
    </xf>
    <xf numFmtId="0" fontId="3" fillId="0" borderId="36" xfId="0" applyFont="1" applyBorder="1" applyAlignment="1">
      <alignment horizontal="center"/>
    </xf>
    <xf numFmtId="0" fontId="14" fillId="0" borderId="0" xfId="0" applyFont="1"/>
    <xf numFmtId="0" fontId="27" fillId="0" borderId="0" xfId="0" applyFont="1" applyAlignment="1">
      <alignment horizontal="left"/>
    </xf>
    <xf numFmtId="0" fontId="9" fillId="0" borderId="0" xfId="0" applyFont="1"/>
    <xf numFmtId="0" fontId="3" fillId="0" borderId="7" xfId="0" applyFont="1" applyBorder="1" applyAlignment="1">
      <alignment horizontal="center"/>
    </xf>
    <xf numFmtId="0" fontId="3" fillId="0" borderId="37" xfId="0" applyFont="1" applyBorder="1" applyAlignment="1">
      <alignment horizontal="center"/>
    </xf>
    <xf numFmtId="0" fontId="3" fillId="0" borderId="38" xfId="0" applyFont="1" applyBorder="1"/>
    <xf numFmtId="0" fontId="27" fillId="0" borderId="38" xfId="0" applyFont="1" applyBorder="1" applyAlignment="1">
      <alignment horizontal="left"/>
    </xf>
    <xf numFmtId="166" fontId="31" fillId="0" borderId="38" xfId="0" applyNumberFormat="1" applyFont="1" applyBorder="1" applyAlignment="1">
      <alignment horizontal="center"/>
    </xf>
    <xf numFmtId="166" fontId="31" fillId="0" borderId="39" xfId="0" applyNumberFormat="1" applyFont="1" applyBorder="1" applyAlignment="1">
      <alignment horizontal="center"/>
    </xf>
    <xf numFmtId="166" fontId="2" fillId="0" borderId="40" xfId="0" applyNumberFormat="1" applyFont="1" applyBorder="1"/>
    <xf numFmtId="0" fontId="14" fillId="0" borderId="40" xfId="0" applyFont="1" applyBorder="1" applyAlignment="1">
      <alignment horizontal="left"/>
    </xf>
    <xf numFmtId="166" fontId="20" fillId="0" borderId="40" xfId="0" applyNumberFormat="1" applyFont="1" applyBorder="1" applyAlignment="1">
      <alignment horizontal="center"/>
    </xf>
    <xf numFmtId="166" fontId="20" fillId="0" borderId="41" xfId="0" applyNumberFormat="1" applyFont="1" applyBorder="1" applyAlignment="1">
      <alignment horizontal="center"/>
    </xf>
    <xf numFmtId="166" fontId="2" fillId="0" borderId="0" xfId="0" applyNumberFormat="1" applyFont="1" applyAlignment="1">
      <alignment horizontal="left"/>
    </xf>
    <xf numFmtId="0" fontId="2" fillId="0" borderId="0" xfId="0" applyFont="1" applyAlignment="1">
      <alignment horizontal="left"/>
    </xf>
    <xf numFmtId="0" fontId="3" fillId="0" borderId="38" xfId="0" applyFont="1" applyBorder="1" applyAlignment="1">
      <alignment horizontal="left"/>
    </xf>
    <xf numFmtId="0" fontId="2" fillId="0" borderId="0" xfId="0" applyFont="1" applyAlignment="1">
      <alignment indent="1"/>
    </xf>
    <xf numFmtId="0" fontId="2" fillId="0" borderId="21" xfId="0" applyFont="1" applyBorder="1" applyAlignment="1">
      <alignment horizontal="right"/>
    </xf>
    <xf numFmtId="0" fontId="3" fillId="2" borderId="0" xfId="0" applyFont="1" applyFill="1"/>
    <xf numFmtId="167" fontId="2" fillId="0" borderId="0" xfId="0" applyNumberFormat="1" applyFont="1" applyAlignment="1">
      <alignment horizontal="right"/>
    </xf>
    <xf numFmtId="0" fontId="2" fillId="2" borderId="0" xfId="0" applyFont="1" applyFill="1"/>
    <xf numFmtId="0" fontId="2" fillId="2" borderId="0" xfId="0" applyFont="1" applyFill="1" applyAlignment="1">
      <alignment horizontal="center"/>
    </xf>
    <xf numFmtId="0" fontId="32" fillId="0" borderId="0" xfId="0" applyFont="1" applyAlignment="1">
      <alignment horizontal="right"/>
    </xf>
    <xf numFmtId="0" fontId="14" fillId="0" borderId="0" xfId="0" applyFont="1" applyAlignment="1">
      <alignment horizontal="right"/>
    </xf>
    <xf numFmtId="166" fontId="3" fillId="0" borderId="34" xfId="0" applyNumberFormat="1" applyFont="1" applyBorder="1" applyAlignment="1">
      <alignment horizontal="right"/>
    </xf>
    <xf numFmtId="0" fontId="14" fillId="0" borderId="0" xfId="0" applyFont="1" applyAlignment="1">
      <alignment indent="1"/>
    </xf>
    <xf numFmtId="0" fontId="6" fillId="0" borderId="21" xfId="0" applyFont="1" applyBorder="1" applyAlignment="1">
      <alignment horizontal="right"/>
    </xf>
    <xf numFmtId="166" fontId="3" fillId="0" borderId="35" xfId="0" applyNumberFormat="1" applyFont="1" applyBorder="1" applyAlignment="1">
      <alignment horizontal="right"/>
    </xf>
    <xf numFmtId="1" fontId="30" fillId="0" borderId="0" xfId="0" applyNumberFormat="1" applyFont="1" applyAlignment="1">
      <alignment horizontal="center"/>
    </xf>
    <xf numFmtId="165" fontId="30" fillId="0" borderId="0" xfId="2" applyNumberFormat="1" applyFont="1" applyBorder="1" applyAlignment="1">
      <alignment horizontal="center"/>
    </xf>
    <xf numFmtId="166" fontId="31" fillId="4" borderId="38" xfId="0" applyNumberFormat="1" applyFont="1" applyFill="1" applyBorder="1" applyAlignment="1">
      <alignment horizontal="center"/>
    </xf>
    <xf numFmtId="166" fontId="31" fillId="4" borderId="34" xfId="0" applyNumberFormat="1" applyFont="1" applyFill="1" applyBorder="1" applyAlignment="1">
      <alignment horizontal="center"/>
    </xf>
    <xf numFmtId="167" fontId="31" fillId="4" borderId="38" xfId="0" applyNumberFormat="1" applyFont="1" applyFill="1" applyBorder="1" applyAlignment="1">
      <alignment horizontal="center"/>
    </xf>
    <xf numFmtId="0" fontId="33" fillId="0" borderId="0" xfId="0" applyFont="1"/>
    <xf numFmtId="0" fontId="3" fillId="0" borderId="0" xfId="0" applyFont="1" applyAlignment="1">
      <alignment horizontal="right"/>
    </xf>
    <xf numFmtId="167" fontId="2" fillId="0" borderId="9" xfId="0" applyNumberFormat="1" applyFont="1" applyBorder="1" applyAlignment="1">
      <alignment horizontal="center"/>
    </xf>
    <xf numFmtId="167" fontId="2" fillId="0" borderId="44" xfId="0" applyNumberFormat="1" applyFont="1" applyBorder="1" applyAlignment="1">
      <alignment horizontal="center"/>
    </xf>
    <xf numFmtId="167" fontId="2" fillId="0" borderId="19" xfId="0" applyNumberFormat="1" applyFont="1" applyBorder="1" applyAlignment="1">
      <alignment horizontal="center"/>
    </xf>
    <xf numFmtId="167" fontId="2" fillId="0" borderId="45" xfId="0" applyNumberFormat="1" applyFont="1" applyBorder="1" applyAlignment="1">
      <alignment horizontal="center"/>
    </xf>
    <xf numFmtId="167" fontId="2" fillId="0" borderId="49" xfId="0" applyNumberFormat="1" applyFont="1" applyBorder="1" applyAlignment="1">
      <alignment horizontal="center"/>
    </xf>
    <xf numFmtId="167" fontId="2" fillId="0" borderId="50" xfId="0" applyNumberFormat="1" applyFont="1" applyBorder="1" applyAlignment="1">
      <alignment horizontal="center"/>
    </xf>
    <xf numFmtId="3" fontId="15" fillId="0" borderId="21" xfId="0" applyNumberFormat="1" applyFont="1" applyBorder="1" applyAlignment="1">
      <alignment horizontal="center"/>
    </xf>
    <xf numFmtId="164" fontId="28" fillId="0" borderId="0" xfId="2" applyNumberFormat="1" applyFont="1" applyBorder="1" applyAlignment="1">
      <alignment horizontal="center"/>
    </xf>
    <xf numFmtId="166" fontId="15" fillId="0" borderId="0" xfId="0" applyNumberFormat="1" applyFont="1" applyAlignment="1">
      <alignment horizontal="center"/>
    </xf>
    <xf numFmtId="174" fontId="15" fillId="0" borderId="0" xfId="0" applyNumberFormat="1" applyFont="1" applyAlignment="1">
      <alignment horizontal="center"/>
    </xf>
    <xf numFmtId="0" fontId="5" fillId="0" borderId="0" xfId="0" applyFont="1" applyAlignment="1">
      <alignment vertical="center" wrapText="1"/>
    </xf>
    <xf numFmtId="167" fontId="34" fillId="0" borderId="51" xfId="0" applyNumberFormat="1" applyFont="1" applyBorder="1" applyAlignment="1">
      <alignment horizontal="right"/>
    </xf>
    <xf numFmtId="0" fontId="22" fillId="6" borderId="6" xfId="0" applyFont="1" applyFill="1" applyBorder="1" applyAlignment="1">
      <alignment horizontal="left"/>
    </xf>
    <xf numFmtId="0" fontId="22" fillId="6" borderId="1" xfId="0" applyFont="1" applyFill="1" applyBorder="1" applyAlignment="1">
      <alignment horizontal="left"/>
    </xf>
    <xf numFmtId="0" fontId="22" fillId="6" borderId="4" xfId="0" applyFont="1" applyFill="1" applyBorder="1" applyAlignment="1">
      <alignment horizontal="left"/>
    </xf>
    <xf numFmtId="0" fontId="3" fillId="0" borderId="0" xfId="0" applyFont="1" applyAlignment="1">
      <alignment horizontal="right" textRotation="90"/>
    </xf>
    <xf numFmtId="0" fontId="3" fillId="0" borderId="0" xfId="0" applyFont="1" applyAlignment="1">
      <alignment horizontal="center" textRotation="90"/>
    </xf>
    <xf numFmtId="0" fontId="36" fillId="0" borderId="0" xfId="0" applyFont="1" applyAlignment="1">
      <alignment horizontal="left" indent="1"/>
    </xf>
    <xf numFmtId="10" fontId="37" fillId="5" borderId="48" xfId="2" applyNumberFormat="1" applyFont="1" applyFill="1" applyBorder="1" applyAlignment="1">
      <alignment horizontal="center"/>
    </xf>
    <xf numFmtId="10" fontId="37" fillId="5" borderId="46" xfId="2" applyNumberFormat="1" applyFont="1" applyFill="1" applyBorder="1" applyAlignment="1">
      <alignment horizontal="center"/>
    </xf>
    <xf numFmtId="10" fontId="37" fillId="5" borderId="47" xfId="2" applyNumberFormat="1" applyFont="1" applyFill="1" applyBorder="1" applyAlignment="1">
      <alignment horizontal="center"/>
    </xf>
    <xf numFmtId="164" fontId="37" fillId="5" borderId="52" xfId="2" applyNumberFormat="1" applyFont="1" applyFill="1" applyBorder="1" applyAlignment="1">
      <alignment horizontal="right"/>
    </xf>
    <xf numFmtId="164" fontId="37" fillId="5" borderId="53" xfId="2" applyNumberFormat="1" applyFont="1" applyFill="1" applyBorder="1" applyAlignment="1">
      <alignment horizontal="right"/>
    </xf>
    <xf numFmtId="164" fontId="37" fillId="5" borderId="54" xfId="2" applyNumberFormat="1" applyFont="1" applyFill="1" applyBorder="1" applyAlignment="1">
      <alignment horizontal="right"/>
    </xf>
    <xf numFmtId="167" fontId="11" fillId="7" borderId="55" xfId="0" applyNumberFormat="1" applyFont="1" applyFill="1" applyBorder="1" applyAlignment="1">
      <alignment horizontal="center"/>
    </xf>
    <xf numFmtId="167" fontId="2" fillId="0" borderId="57" xfId="0" applyNumberFormat="1" applyFont="1" applyBorder="1" applyAlignment="1">
      <alignment horizontal="center"/>
    </xf>
    <xf numFmtId="167" fontId="2" fillId="0" borderId="58" xfId="0" applyNumberFormat="1" applyFont="1" applyBorder="1" applyAlignment="1">
      <alignment horizontal="center"/>
    </xf>
    <xf numFmtId="167" fontId="2" fillId="0" borderId="59" xfId="0" applyNumberFormat="1" applyFont="1" applyBorder="1" applyAlignment="1">
      <alignment horizontal="center"/>
    </xf>
    <xf numFmtId="167" fontId="2" fillId="0" borderId="60" xfId="0" applyNumberFormat="1" applyFont="1" applyBorder="1" applyAlignment="1">
      <alignment horizontal="center"/>
    </xf>
    <xf numFmtId="167" fontId="2" fillId="0" borderId="61" xfId="0" applyNumberFormat="1" applyFont="1" applyBorder="1" applyAlignment="1">
      <alignment horizontal="center"/>
    </xf>
    <xf numFmtId="167" fontId="2" fillId="0" borderId="62" xfId="0" applyNumberFormat="1" applyFont="1" applyBorder="1" applyAlignment="1">
      <alignment horizontal="center"/>
    </xf>
    <xf numFmtId="167" fontId="2" fillId="0" borderId="63" xfId="0" applyNumberFormat="1" applyFont="1" applyBorder="1" applyAlignment="1">
      <alignment horizontal="center"/>
    </xf>
    <xf numFmtId="167" fontId="2" fillId="0" borderId="64" xfId="0" applyNumberFormat="1" applyFont="1" applyBorder="1" applyAlignment="1">
      <alignment horizontal="center"/>
    </xf>
    <xf numFmtId="167" fontId="2" fillId="0" borderId="65" xfId="0" applyNumberFormat="1" applyFont="1" applyBorder="1" applyAlignment="1">
      <alignment horizontal="center"/>
    </xf>
    <xf numFmtId="167" fontId="2" fillId="0" borderId="66" xfId="0" applyNumberFormat="1" applyFont="1" applyBorder="1" applyAlignment="1">
      <alignment horizontal="center"/>
    </xf>
    <xf numFmtId="164" fontId="15" fillId="0" borderId="20" xfId="2" applyNumberFormat="1" applyFont="1" applyBorder="1" applyAlignment="1">
      <alignment horizontal="right"/>
    </xf>
    <xf numFmtId="166" fontId="29" fillId="0" borderId="0" xfId="0" applyNumberFormat="1" applyFont="1" applyAlignment="1">
      <alignment horizontal="right"/>
    </xf>
    <xf numFmtId="174" fontId="29" fillId="0" borderId="0" xfId="0" applyNumberFormat="1" applyFont="1" applyAlignment="1">
      <alignment horizontal="right"/>
    </xf>
    <xf numFmtId="10" fontId="29" fillId="0" borderId="0" xfId="0" applyNumberFormat="1" applyFont="1" applyAlignment="1">
      <alignment horizontal="right"/>
    </xf>
    <xf numFmtId="164" fontId="29" fillId="0" borderId="0" xfId="0" applyNumberFormat="1" applyFont="1" applyAlignment="1">
      <alignment horizontal="right"/>
    </xf>
    <xf numFmtId="1" fontId="29" fillId="0" borderId="0" xfId="0" applyNumberFormat="1" applyFont="1" applyAlignment="1">
      <alignment horizontal="right"/>
    </xf>
    <xf numFmtId="164" fontId="20" fillId="0" borderId="0" xfId="0" applyNumberFormat="1" applyFont="1" applyAlignment="1">
      <alignment horizontal="right"/>
    </xf>
    <xf numFmtId="0" fontId="13" fillId="0" borderId="0" xfId="3" applyFont="1"/>
    <xf numFmtId="167" fontId="38" fillId="0" borderId="34" xfId="0" applyNumberFormat="1" applyFont="1" applyBorder="1" applyAlignment="1">
      <alignment horizontal="right"/>
    </xf>
    <xf numFmtId="0" fontId="2" fillId="0" borderId="67" xfId="0" applyFont="1" applyBorder="1"/>
    <xf numFmtId="175" fontId="2" fillId="0" borderId="67" xfId="0" applyNumberFormat="1" applyFont="1" applyBorder="1" applyAlignment="1">
      <alignment horizontal="right"/>
    </xf>
    <xf numFmtId="0" fontId="2" fillId="0" borderId="0" xfId="0" applyFont="1" applyAlignment="1">
      <alignment horizontal="left" vertical="center" wrapText="1"/>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vertical="center"/>
    </xf>
    <xf numFmtId="0" fontId="34" fillId="0" borderId="0" xfId="0" applyFont="1" applyAlignment="1">
      <alignment vertical="top"/>
    </xf>
    <xf numFmtId="166" fontId="3" fillId="0" borderId="68" xfId="0" applyNumberFormat="1" applyFont="1" applyBorder="1" applyAlignment="1">
      <alignment horizontal="left" vertical="top" wrapText="1"/>
    </xf>
    <xf numFmtId="166" fontId="18" fillId="0" borderId="69" xfId="3" applyNumberFormat="1" applyFont="1" applyBorder="1" applyAlignment="1">
      <alignment horizontal="left" vertical="top" wrapText="1"/>
    </xf>
    <xf numFmtId="166" fontId="18" fillId="0" borderId="70" xfId="3" applyNumberFormat="1" applyFont="1" applyBorder="1" applyAlignment="1">
      <alignment horizontal="left" vertical="top" wrapText="1"/>
    </xf>
    <xf numFmtId="166" fontId="2" fillId="0" borderId="56" xfId="0" applyNumberFormat="1" applyFont="1" applyBorder="1" applyAlignment="1">
      <alignment horizontal="left" vertical="top" wrapText="1"/>
    </xf>
    <xf numFmtId="15" fontId="2" fillId="0" borderId="56" xfId="0" applyNumberFormat="1" applyFont="1" applyBorder="1" applyAlignment="1">
      <alignment horizontal="left" vertical="top" wrapText="1"/>
    </xf>
    <xf numFmtId="166" fontId="2" fillId="0" borderId="71" xfId="0" applyNumberFormat="1" applyFont="1" applyBorder="1" applyAlignment="1">
      <alignment horizontal="left" vertical="top" wrapText="1"/>
    </xf>
    <xf numFmtId="166" fontId="2" fillId="0" borderId="72" xfId="0" applyNumberFormat="1" applyFont="1" applyBorder="1" applyAlignment="1">
      <alignment horizontal="left" vertical="top" wrapText="1"/>
    </xf>
    <xf numFmtId="167" fontId="2" fillId="0" borderId="56" xfId="1" applyNumberFormat="1" applyFont="1" applyBorder="1" applyAlignment="1">
      <alignment horizontal="left" vertical="top" wrapText="1"/>
    </xf>
    <xf numFmtId="166" fontId="8" fillId="0" borderId="11" xfId="3" applyNumberFormat="1" applyBorder="1" applyAlignment="1">
      <alignment horizontal="left" vertical="top" wrapText="1"/>
    </xf>
    <xf numFmtId="166" fontId="8" fillId="0" borderId="56" xfId="3" applyNumberFormat="1" applyBorder="1" applyAlignment="1">
      <alignment horizontal="left" vertical="top" wrapText="1"/>
    </xf>
    <xf numFmtId="0" fontId="42" fillId="0" borderId="0" xfId="0" applyFont="1"/>
    <xf numFmtId="0" fontId="43" fillId="0" borderId="0" xfId="0" applyFont="1"/>
    <xf numFmtId="0" fontId="35" fillId="0" borderId="0" xfId="0" applyFont="1" applyAlignment="1">
      <alignment horizontal="left"/>
    </xf>
    <xf numFmtId="0" fontId="35" fillId="0" borderId="0" xfId="0" applyFont="1" applyAlignment="1">
      <alignment wrapText="1"/>
    </xf>
    <xf numFmtId="0" fontId="35" fillId="0" borderId="0" xfId="0" applyFont="1"/>
    <xf numFmtId="0" fontId="19" fillId="0" borderId="0" xfId="0" applyFont="1"/>
    <xf numFmtId="0" fontId="22" fillId="6" borderId="0" xfId="0" applyFont="1" applyFill="1" applyAlignment="1">
      <alignment horizontal="left"/>
    </xf>
    <xf numFmtId="0" fontId="22" fillId="6" borderId="0" xfId="0" applyFont="1" applyFill="1" applyAlignment="1">
      <alignment horizontal="left" vertical="top" wrapText="1"/>
    </xf>
    <xf numFmtId="0" fontId="39" fillId="0" borderId="0" xfId="0" applyFont="1" applyAlignment="1">
      <alignment vertical="top" wrapText="1"/>
    </xf>
    <xf numFmtId="0" fontId="35" fillId="0" borderId="0" xfId="0" applyFont="1" applyAlignment="1">
      <alignment vertical="top" wrapText="1"/>
    </xf>
    <xf numFmtId="0" fontId="40" fillId="0" borderId="0" xfId="0" applyFont="1"/>
    <xf numFmtId="0" fontId="41" fillId="0" borderId="0" xfId="0" applyFont="1"/>
    <xf numFmtId="0" fontId="41" fillId="7" borderId="0" xfId="0" applyFont="1" applyFill="1"/>
    <xf numFmtId="0" fontId="3" fillId="0" borderId="42" xfId="0" applyFont="1" applyBorder="1" applyAlignment="1">
      <alignment horizontal="center"/>
    </xf>
    <xf numFmtId="0" fontId="3" fillId="0" borderId="43" xfId="0" applyFont="1" applyBorder="1" applyAlignment="1">
      <alignment horizontal="right" textRotation="90"/>
    </xf>
    <xf numFmtId="0" fontId="5" fillId="0" borderId="0" xfId="0" applyFont="1" applyAlignment="1">
      <alignment horizontal="left" vertical="center"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0432FF"/>
      <color rgb="FF00FA00"/>
      <color rgb="FF002060"/>
      <color rgb="FF0068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F42330-0B9A-6B4D-979E-8A9B2542198A}">
  <we:reference id="wa200009404" version="1.0.0.8" store="en-US" storeType="OMEX"/>
  <we:alternateReferences>
    <we:reference id="WA200009404" version="1.0.0.8" store="WA200009404" storeType="OMEX"/>
  </we:alternateReferences>
  <we:properties>
    <we:property name="claude.fileId" value="&quot;51c4ae54-f2d9-4949-a732-aee63d35841a&quot;"/>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3" Type="http://schemas.openxmlformats.org/officeDocument/2006/relationships/hyperlink" Target="https://www.stern.nyu.edu/~adamodar/pc/datasets/ctryprem.xlsx" TargetMode="External"/><Relationship Id="rId2" Type="http://schemas.openxmlformats.org/officeDocument/2006/relationships/hyperlink" Target="https://pages.stern.nyu.edu/~adamodar/pc/datasets/betas.xls" TargetMode="External"/><Relationship Id="rId1" Type="http://schemas.openxmlformats.org/officeDocument/2006/relationships/hyperlink" Target="https://home.treasury.gov/resource-center/data-chart-center/interest-rates/daily-treasury-rates.csv/2025/all?type=daily_treasury_yield_curve" TargetMode="External"/><Relationship Id="rId4" Type="http://schemas.openxmlformats.org/officeDocument/2006/relationships/hyperlink" Target="https://www.wsj.com/market-data/quotes/CMG?mod=searchresults_companyquotes&amp;mod=md_home_hdr_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4E99-D399-3C42-A443-CCD6DA9E2346}">
  <sheetPr>
    <tabColor rgb="FF153D64"/>
  </sheetPr>
  <dimension ref="C2:R43"/>
  <sheetViews>
    <sheetView showGridLines="0" tabSelected="1" zoomScale="75" workbookViewId="0"/>
  </sheetViews>
  <sheetFormatPr baseColWidth="10" defaultRowHeight="14" x14ac:dyDescent="0.2"/>
  <cols>
    <col min="1" max="2" width="3" style="1" customWidth="1"/>
    <col min="3" max="3" width="42.5" style="1" customWidth="1"/>
    <col min="4" max="4" width="2.33203125" style="1" customWidth="1"/>
    <col min="5" max="18" width="13.33203125" style="2" customWidth="1"/>
    <col min="19" max="16384" width="10.83203125" style="1"/>
  </cols>
  <sheetData>
    <row r="2" spans="3:11" ht="34" customHeight="1" x14ac:dyDescent="0.4">
      <c r="C2" s="279" t="s">
        <v>278</v>
      </c>
    </row>
    <row r="3" spans="3:11" ht="20" customHeight="1" x14ac:dyDescent="0.2">
      <c r="C3" s="280" t="s">
        <v>279</v>
      </c>
    </row>
    <row r="5" spans="3:11" ht="14" customHeight="1" x14ac:dyDescent="0.2">
      <c r="C5" s="285" t="s">
        <v>280</v>
      </c>
      <c r="D5" s="285"/>
      <c r="E5" s="285"/>
      <c r="F5" s="285"/>
      <c r="G5" s="285"/>
      <c r="H5" s="285"/>
      <c r="I5" s="285"/>
      <c r="J5" s="285"/>
      <c r="K5" s="285"/>
    </row>
    <row r="6" spans="3:11" x14ac:dyDescent="0.2">
      <c r="C6" s="1" t="s">
        <v>281</v>
      </c>
      <c r="E6" s="143">
        <v>46022</v>
      </c>
    </row>
    <row r="7" spans="3:11" x14ac:dyDescent="0.2">
      <c r="C7" s="1" t="s">
        <v>282</v>
      </c>
      <c r="E7" s="143">
        <v>46273</v>
      </c>
    </row>
    <row r="8" spans="3:11" x14ac:dyDescent="0.2">
      <c r="C8" s="265" t="s">
        <v>283</v>
      </c>
      <c r="E8" s="266" t="s">
        <v>285</v>
      </c>
    </row>
    <row r="9" spans="3:11" ht="14" customHeight="1" x14ac:dyDescent="0.2">
      <c r="C9" s="1" t="s">
        <v>284</v>
      </c>
      <c r="D9" s="264"/>
      <c r="E9" s="267" t="s">
        <v>308</v>
      </c>
      <c r="F9" s="267"/>
    </row>
    <row r="10" spans="3:11" x14ac:dyDescent="0.2">
      <c r="D10" s="264"/>
      <c r="E10" s="264"/>
    </row>
    <row r="11" spans="3:11" ht="14" customHeight="1" x14ac:dyDescent="0.2">
      <c r="C11" s="285" t="s">
        <v>23</v>
      </c>
      <c r="D11" s="285"/>
      <c r="E11" s="285"/>
      <c r="F11" s="285"/>
      <c r="G11" s="285"/>
      <c r="H11" s="285"/>
      <c r="I11" s="285"/>
      <c r="J11" s="285"/>
      <c r="K11" s="285"/>
    </row>
    <row r="12" spans="3:11" x14ac:dyDescent="0.2">
      <c r="C12" s="1" t="s">
        <v>286</v>
      </c>
      <c r="E12" s="254">
        <f>DCF!E63</f>
        <v>37871.623140347954</v>
      </c>
    </row>
    <row r="13" spans="3:11" x14ac:dyDescent="0.2">
      <c r="C13" s="1" t="s">
        <v>287</v>
      </c>
      <c r="E13" s="254">
        <f>DCF!E71</f>
        <v>39117.882140347952</v>
      </c>
    </row>
    <row r="14" spans="3:11" x14ac:dyDescent="0.2">
      <c r="C14" s="1" t="s">
        <v>142</v>
      </c>
      <c r="E14" s="255">
        <f>DCF!E73</f>
        <v>1302.4000000000001</v>
      </c>
    </row>
    <row r="15" spans="3:11" x14ac:dyDescent="0.2">
      <c r="C15" s="178" t="s">
        <v>288</v>
      </c>
      <c r="D15" s="178"/>
      <c r="E15" s="261">
        <f>DCF!E74</f>
        <v>30.035228916114825</v>
      </c>
    </row>
    <row r="16" spans="3:11" x14ac:dyDescent="0.2">
      <c r="C16" s="1" t="s">
        <v>289</v>
      </c>
      <c r="E16" s="202">
        <v>37</v>
      </c>
    </row>
    <row r="17" spans="3:11" ht="15" thickBot="1" x14ac:dyDescent="0.25">
      <c r="C17" s="262" t="s">
        <v>313</v>
      </c>
      <c r="D17" s="262"/>
      <c r="E17" s="263">
        <f>E15/E16-1</f>
        <v>-0.1882370563212209</v>
      </c>
    </row>
    <row r="18" spans="3:11" ht="15" thickTop="1" x14ac:dyDescent="0.2"/>
    <row r="19" spans="3:11" ht="14" customHeight="1" x14ac:dyDescent="0.2">
      <c r="C19" s="285" t="s">
        <v>3</v>
      </c>
      <c r="D19" s="285"/>
      <c r="E19" s="285"/>
      <c r="F19" s="285"/>
      <c r="G19" s="285"/>
      <c r="H19" s="285"/>
      <c r="I19" s="285"/>
      <c r="J19" s="285"/>
      <c r="K19" s="285"/>
    </row>
    <row r="20" spans="3:11" x14ac:dyDescent="0.2">
      <c r="C20" s="1" t="s">
        <v>307</v>
      </c>
      <c r="E20" s="256">
        <f>Assumptions!E13</f>
        <v>7.6721800000000007E-2</v>
      </c>
    </row>
    <row r="21" spans="3:11" x14ac:dyDescent="0.2">
      <c r="C21" s="1" t="s">
        <v>181</v>
      </c>
      <c r="E21" s="257">
        <f>Assumptions!E17</f>
        <v>2.5000000000000001E-2</v>
      </c>
    </row>
    <row r="22" spans="3:11" x14ac:dyDescent="0.2">
      <c r="C22" s="1" t="s">
        <v>113</v>
      </c>
      <c r="E22" s="256">
        <f>Assumptions!E16</f>
        <v>0.23575691496323248</v>
      </c>
    </row>
    <row r="23" spans="3:11" x14ac:dyDescent="0.2">
      <c r="C23" s="1" t="s">
        <v>290</v>
      </c>
      <c r="E23" s="258">
        <f>Assumptions!E18</f>
        <v>5</v>
      </c>
    </row>
    <row r="24" spans="3:11" x14ac:dyDescent="0.2">
      <c r="C24" s="1" t="s">
        <v>291</v>
      </c>
      <c r="E24" s="259">
        <f>DCF!E62/DCF!E63</f>
        <v>0.8286511679296874</v>
      </c>
    </row>
    <row r="26" spans="3:11" ht="14" customHeight="1" x14ac:dyDescent="0.2">
      <c r="C26" s="286" t="s">
        <v>292</v>
      </c>
      <c r="D26" s="286"/>
      <c r="E26" s="286"/>
      <c r="F26" s="286"/>
      <c r="G26" s="286"/>
      <c r="H26" s="286"/>
      <c r="I26" s="286"/>
      <c r="J26" s="286"/>
      <c r="K26" s="286"/>
    </row>
    <row r="27" spans="3:11" ht="14" customHeight="1" x14ac:dyDescent="0.2">
      <c r="C27" s="287" t="s">
        <v>314</v>
      </c>
      <c r="D27" s="288"/>
      <c r="E27" s="288"/>
      <c r="F27" s="288"/>
      <c r="G27" s="288"/>
      <c r="H27" s="288"/>
      <c r="I27" s="288"/>
      <c r="J27" s="288"/>
      <c r="K27" s="288"/>
    </row>
    <row r="28" spans="3:11" ht="14" customHeight="1" x14ac:dyDescent="0.2">
      <c r="C28" s="289" t="s">
        <v>315</v>
      </c>
      <c r="D28" s="284"/>
      <c r="E28" s="284"/>
      <c r="F28" s="284"/>
      <c r="G28" s="284"/>
      <c r="H28" s="284"/>
      <c r="I28" s="284"/>
      <c r="J28" s="284"/>
      <c r="K28" s="284"/>
    </row>
    <row r="29" spans="3:11" ht="14" customHeight="1" x14ac:dyDescent="0.2">
      <c r="C29" s="290" t="s">
        <v>316</v>
      </c>
      <c r="D29" s="284"/>
      <c r="E29" s="284"/>
      <c r="F29" s="284"/>
      <c r="G29" s="284"/>
      <c r="H29" s="284"/>
      <c r="I29" s="284"/>
      <c r="J29" s="284"/>
      <c r="K29" s="284"/>
    </row>
    <row r="30" spans="3:11" ht="14" customHeight="1" x14ac:dyDescent="0.2">
      <c r="C30" s="291" t="s">
        <v>317</v>
      </c>
      <c r="D30" s="284"/>
      <c r="E30" s="284"/>
      <c r="F30" s="284"/>
      <c r="G30" s="284"/>
      <c r="H30" s="284"/>
      <c r="I30" s="284"/>
      <c r="J30" s="284"/>
      <c r="K30" s="284"/>
    </row>
    <row r="33" spans="3:11" ht="14" customHeight="1" x14ac:dyDescent="0.2">
      <c r="C33" s="285" t="s">
        <v>293</v>
      </c>
      <c r="D33" s="285"/>
      <c r="E33" s="285"/>
      <c r="F33" s="285"/>
      <c r="G33" s="285"/>
      <c r="H33" s="285"/>
      <c r="I33" s="285"/>
      <c r="J33" s="285"/>
      <c r="K33" s="285"/>
    </row>
    <row r="34" spans="3:11" ht="16" x14ac:dyDescent="0.2">
      <c r="C34" s="260" t="s">
        <v>294</v>
      </c>
      <c r="E34" s="283" t="s">
        <v>295</v>
      </c>
      <c r="F34" s="284"/>
      <c r="G34" s="284"/>
      <c r="H34" s="284"/>
      <c r="I34" s="284"/>
      <c r="J34" s="284"/>
      <c r="K34" s="284"/>
    </row>
    <row r="35" spans="3:11" ht="16" x14ac:dyDescent="0.2">
      <c r="C35" s="260" t="s">
        <v>296</v>
      </c>
      <c r="E35" s="283" t="s">
        <v>297</v>
      </c>
      <c r="F35" s="284"/>
      <c r="G35" s="284"/>
      <c r="H35" s="284"/>
      <c r="I35" s="284"/>
      <c r="J35" s="284"/>
      <c r="K35" s="284"/>
    </row>
    <row r="36" spans="3:11" ht="16" x14ac:dyDescent="0.2">
      <c r="C36" s="260" t="s">
        <v>298</v>
      </c>
      <c r="E36" s="283" t="s">
        <v>299</v>
      </c>
      <c r="F36" s="284"/>
      <c r="G36" s="284"/>
      <c r="H36" s="284"/>
      <c r="I36" s="284"/>
      <c r="J36" s="284"/>
      <c r="K36" s="284"/>
    </row>
    <row r="37" spans="3:11" x14ac:dyDescent="0.2">
      <c r="C37" s="260" t="s">
        <v>300</v>
      </c>
      <c r="E37" s="283" t="s">
        <v>301</v>
      </c>
      <c r="F37" s="283"/>
      <c r="G37" s="283"/>
      <c r="H37" s="283"/>
      <c r="I37" s="283"/>
      <c r="J37" s="283"/>
      <c r="K37" s="283"/>
    </row>
    <row r="39" spans="3:11" ht="15" x14ac:dyDescent="0.2">
      <c r="C39" s="285" t="s">
        <v>302</v>
      </c>
      <c r="D39" s="285"/>
      <c r="E39" s="285"/>
      <c r="F39" s="285"/>
      <c r="G39" s="285"/>
      <c r="H39" s="285"/>
      <c r="I39" s="285"/>
      <c r="J39" s="285"/>
      <c r="K39" s="285"/>
    </row>
    <row r="40" spans="3:11" ht="26" customHeight="1" x14ac:dyDescent="0.2">
      <c r="C40" s="268" t="s">
        <v>303</v>
      </c>
      <c r="E40" s="282" t="s">
        <v>310</v>
      </c>
      <c r="F40" s="282"/>
      <c r="G40" s="282"/>
      <c r="H40" s="282"/>
      <c r="I40" s="282"/>
      <c r="J40" s="282"/>
      <c r="K40" s="282"/>
    </row>
    <row r="41" spans="3:11" ht="16" customHeight="1" x14ac:dyDescent="0.2">
      <c r="C41" s="268" t="s">
        <v>304</v>
      </c>
      <c r="E41" s="281" t="s">
        <v>309</v>
      </c>
      <c r="F41" s="281"/>
      <c r="G41" s="281"/>
      <c r="H41" s="281"/>
      <c r="I41" s="281"/>
      <c r="J41" s="281"/>
      <c r="K41" s="281"/>
    </row>
    <row r="42" spans="3:11" x14ac:dyDescent="0.2">
      <c r="C42" s="268" t="s">
        <v>305</v>
      </c>
      <c r="E42" s="282" t="s">
        <v>312</v>
      </c>
      <c r="F42" s="282"/>
      <c r="G42" s="282"/>
      <c r="H42" s="282"/>
      <c r="I42" s="282"/>
      <c r="J42" s="282"/>
      <c r="K42" s="282"/>
    </row>
    <row r="43" spans="3:11" x14ac:dyDescent="0.2">
      <c r="C43" s="268" t="s">
        <v>306</v>
      </c>
      <c r="E43" s="283" t="s">
        <v>311</v>
      </c>
      <c r="F43" s="283"/>
      <c r="G43" s="283"/>
      <c r="H43" s="283"/>
      <c r="I43" s="283"/>
      <c r="J43" s="283"/>
      <c r="K43" s="283"/>
    </row>
  </sheetData>
  <mergeCells count="18">
    <mergeCell ref="C33:K33"/>
    <mergeCell ref="C5:K5"/>
    <mergeCell ref="C11:K11"/>
    <mergeCell ref="C19:K19"/>
    <mergeCell ref="C26:K26"/>
    <mergeCell ref="C27:K27"/>
    <mergeCell ref="C28:K28"/>
    <mergeCell ref="C29:K29"/>
    <mergeCell ref="C30:K30"/>
    <mergeCell ref="E41:K41"/>
    <mergeCell ref="E42:K42"/>
    <mergeCell ref="E43:K43"/>
    <mergeCell ref="E34:K34"/>
    <mergeCell ref="E35:K35"/>
    <mergeCell ref="E36:K36"/>
    <mergeCell ref="E37:K37"/>
    <mergeCell ref="C39:K39"/>
    <mergeCell ref="E40:K40"/>
  </mergeCells>
  <hyperlinks>
    <hyperlink ref="C34" location="Assumptions!C2" tooltip="Go to Assumptions" display="Assumptions" xr:uid="{C9C27F26-7FE7-FB43-810B-5C19510A5053}"/>
    <hyperlink ref="C35" location="Historicals!C2" tooltip="Go to Historicals" display="Historicals" xr:uid="{3A8C656A-EAFC-BE4F-B872-4B4DF0F689FF}"/>
    <hyperlink ref="C36" location="DCF!C2" tooltip="Go to DCF" display="DCF" xr:uid="{D2F6D9BC-B46F-B34E-9BDF-2062758BECBC}"/>
    <hyperlink ref="C37" location="Sources!C2" tooltip="Go to Sources" display="Sources" xr:uid="{AB87E05A-87C5-D045-AAB3-BEA3DAFD551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9538D-00AD-2040-A0B3-0A71D901FAB2}">
  <sheetPr>
    <tabColor theme="3" tint="0.89999084444715716"/>
  </sheetPr>
  <dimension ref="C2:Q52"/>
  <sheetViews>
    <sheetView showGridLines="0" zoomScale="75" zoomScaleNormal="150" workbookViewId="0"/>
  </sheetViews>
  <sheetFormatPr baseColWidth="10" defaultRowHeight="14" x14ac:dyDescent="0.2"/>
  <cols>
    <col min="1" max="2" width="3" style="3" customWidth="1"/>
    <col min="3" max="3" width="42.5" style="3" customWidth="1"/>
    <col min="4" max="4" width="5.6640625" style="3" customWidth="1"/>
    <col min="5" max="17" width="13.33203125" style="4" customWidth="1"/>
    <col min="18" max="16384" width="10.83203125" style="3"/>
  </cols>
  <sheetData>
    <row r="2" spans="3:11" ht="19" x14ac:dyDescent="0.25">
      <c r="C2" s="62" t="s">
        <v>32</v>
      </c>
    </row>
    <row r="3" spans="3:11" x14ac:dyDescent="0.2">
      <c r="C3" s="5" t="s">
        <v>252</v>
      </c>
    </row>
    <row r="5" spans="3:11" x14ac:dyDescent="0.2">
      <c r="E5" s="60" t="s">
        <v>253</v>
      </c>
      <c r="F5" s="59" t="s">
        <v>254</v>
      </c>
      <c r="G5" s="59"/>
      <c r="H5" s="59"/>
      <c r="I5" s="59"/>
      <c r="J5" s="59"/>
      <c r="K5" s="59"/>
    </row>
    <row r="6" spans="3:11" x14ac:dyDescent="0.2">
      <c r="E6" s="25" t="s">
        <v>137</v>
      </c>
      <c r="F6" s="26" t="s">
        <v>131</v>
      </c>
      <c r="G6" s="26" t="s">
        <v>132</v>
      </c>
      <c r="H6" s="26" t="s">
        <v>133</v>
      </c>
      <c r="I6" s="26" t="s">
        <v>134</v>
      </c>
      <c r="J6" s="44" t="s">
        <v>135</v>
      </c>
      <c r="K6" s="26" t="s">
        <v>136</v>
      </c>
    </row>
    <row r="7" spans="3:11" ht="15" x14ac:dyDescent="0.2">
      <c r="C7" s="61" t="s">
        <v>115</v>
      </c>
      <c r="D7" s="61"/>
      <c r="E7" s="61"/>
      <c r="F7" s="61"/>
      <c r="G7" s="61"/>
      <c r="H7" s="61"/>
      <c r="I7" s="61"/>
      <c r="J7" s="61"/>
      <c r="K7" s="61"/>
    </row>
    <row r="8" spans="3:11" x14ac:dyDescent="0.2">
      <c r="C8" s="3" t="s">
        <v>144</v>
      </c>
      <c r="E8" s="32">
        <v>4.1799999999999997E-2</v>
      </c>
      <c r="K8" s="110"/>
    </row>
    <row r="9" spans="3:11" x14ac:dyDescent="0.2">
      <c r="C9" s="3" t="s">
        <v>109</v>
      </c>
      <c r="E9" s="34">
        <v>0.78300000000000003</v>
      </c>
      <c r="K9" s="110"/>
    </row>
    <row r="10" spans="3:11" x14ac:dyDescent="0.2">
      <c r="C10" s="3" t="s">
        <v>108</v>
      </c>
      <c r="E10" s="32">
        <v>4.4600000000000001E-2</v>
      </c>
      <c r="K10" s="110"/>
    </row>
    <row r="11" spans="3:11" x14ac:dyDescent="0.2">
      <c r="C11" s="3" t="s">
        <v>110</v>
      </c>
      <c r="E11" s="30">
        <f>E8+E9*E10</f>
        <v>7.6721800000000007E-2</v>
      </c>
      <c r="K11" s="110"/>
    </row>
    <row r="12" spans="3:11" x14ac:dyDescent="0.2">
      <c r="C12" s="3" t="s">
        <v>111</v>
      </c>
      <c r="E12" s="32">
        <v>0</v>
      </c>
      <c r="K12" s="110"/>
    </row>
    <row r="13" spans="3:11" ht="15" thickBot="1" x14ac:dyDescent="0.25">
      <c r="C13" s="27" t="s">
        <v>112</v>
      </c>
      <c r="E13" s="33">
        <f>E11</f>
        <v>7.6721800000000007E-2</v>
      </c>
      <c r="F13" s="141"/>
      <c r="G13" s="141"/>
      <c r="H13" s="141"/>
      <c r="I13" s="141"/>
      <c r="J13" s="141"/>
      <c r="K13" s="142"/>
    </row>
    <row r="14" spans="3:11" ht="15" thickTop="1" x14ac:dyDescent="0.2"/>
    <row r="15" spans="3:11" ht="14" customHeight="1" x14ac:dyDescent="0.2">
      <c r="C15" s="61" t="s">
        <v>33</v>
      </c>
      <c r="D15" s="61"/>
      <c r="E15" s="61"/>
      <c r="F15" s="61"/>
      <c r="G15" s="61"/>
      <c r="H15" s="61"/>
      <c r="I15" s="61"/>
      <c r="J15" s="61"/>
      <c r="K15" s="61"/>
    </row>
    <row r="16" spans="3:11" x14ac:dyDescent="0.2">
      <c r="C16" s="3" t="s">
        <v>113</v>
      </c>
      <c r="E16" s="31">
        <f>Historicals!G44</f>
        <v>0.23575691496323248</v>
      </c>
      <c r="K16" s="110"/>
    </row>
    <row r="17" spans="3:11" x14ac:dyDescent="0.2">
      <c r="C17" s="3" t="s">
        <v>5</v>
      </c>
      <c r="E17" s="20">
        <v>2.5000000000000001E-2</v>
      </c>
      <c r="K17" s="110"/>
    </row>
    <row r="18" spans="3:11" x14ac:dyDescent="0.2">
      <c r="C18" s="97" t="s">
        <v>7</v>
      </c>
      <c r="D18" s="97"/>
      <c r="E18" s="98">
        <v>5</v>
      </c>
      <c r="F18" s="99"/>
      <c r="G18" s="99"/>
      <c r="H18" s="99"/>
      <c r="I18" s="99"/>
      <c r="J18" s="99"/>
      <c r="K18" s="111"/>
    </row>
    <row r="20" spans="3:11" ht="15" x14ac:dyDescent="0.2">
      <c r="C20" s="61" t="s">
        <v>114</v>
      </c>
      <c r="D20" s="61"/>
      <c r="E20" s="61"/>
      <c r="F20" s="61"/>
      <c r="G20" s="61"/>
      <c r="H20" s="61"/>
      <c r="I20" s="61"/>
      <c r="J20" s="61"/>
      <c r="K20" s="61"/>
    </row>
    <row r="21" spans="3:11" x14ac:dyDescent="0.2">
      <c r="C21" s="35" t="s">
        <v>116</v>
      </c>
      <c r="D21" s="35"/>
      <c r="E21" s="37">
        <v>3726</v>
      </c>
      <c r="F21" s="36">
        <f t="shared" ref="F21:K21" si="0">E24</f>
        <v>4042</v>
      </c>
      <c r="G21" s="36">
        <f t="shared" si="0"/>
        <v>4373</v>
      </c>
      <c r="H21" s="36">
        <f t="shared" si="0"/>
        <v>4703</v>
      </c>
      <c r="I21" s="36">
        <f t="shared" si="0"/>
        <v>5031</v>
      </c>
      <c r="J21" s="36">
        <f t="shared" si="0"/>
        <v>5358</v>
      </c>
      <c r="K21" s="112">
        <f t="shared" si="0"/>
        <v>5683</v>
      </c>
    </row>
    <row r="22" spans="3:11" x14ac:dyDescent="0.2">
      <c r="C22" s="35" t="s">
        <v>117</v>
      </c>
      <c r="D22" s="35"/>
      <c r="E22" s="37">
        <v>334</v>
      </c>
      <c r="F22" s="37">
        <v>350</v>
      </c>
      <c r="G22" s="37">
        <v>350</v>
      </c>
      <c r="H22" s="37">
        <v>350</v>
      </c>
      <c r="I22" s="37">
        <v>350</v>
      </c>
      <c r="J22" s="37">
        <v>350</v>
      </c>
      <c r="K22" s="113">
        <f>-K23</f>
        <v>26</v>
      </c>
    </row>
    <row r="23" spans="3:11" x14ac:dyDescent="0.2">
      <c r="C23" s="35" t="s">
        <v>118</v>
      </c>
      <c r="D23" s="35"/>
      <c r="E23" s="38">
        <v>-18</v>
      </c>
      <c r="F23" s="49">
        <f t="shared" ref="F23:K23" si="1">-ROUND(F21*F26,0)</f>
        <v>-19</v>
      </c>
      <c r="G23" s="49">
        <f t="shared" si="1"/>
        <v>-20</v>
      </c>
      <c r="H23" s="49">
        <f t="shared" si="1"/>
        <v>-22</v>
      </c>
      <c r="I23" s="49">
        <f t="shared" si="1"/>
        <v>-23</v>
      </c>
      <c r="J23" s="49">
        <f t="shared" si="1"/>
        <v>-25</v>
      </c>
      <c r="K23" s="114">
        <f t="shared" si="1"/>
        <v>-26</v>
      </c>
    </row>
    <row r="24" spans="3:11" x14ac:dyDescent="0.2">
      <c r="C24" s="35" t="s">
        <v>119</v>
      </c>
      <c r="D24" s="35"/>
      <c r="E24" s="36">
        <f t="shared" ref="E24:K24" si="2">SUM(E21:E23)</f>
        <v>4042</v>
      </c>
      <c r="F24" s="36">
        <f t="shared" si="2"/>
        <v>4373</v>
      </c>
      <c r="G24" s="36">
        <f t="shared" si="2"/>
        <v>4703</v>
      </c>
      <c r="H24" s="36">
        <f t="shared" si="2"/>
        <v>5031</v>
      </c>
      <c r="I24" s="36">
        <f t="shared" si="2"/>
        <v>5358</v>
      </c>
      <c r="J24" s="36">
        <f t="shared" si="2"/>
        <v>5683</v>
      </c>
      <c r="K24" s="112">
        <f t="shared" si="2"/>
        <v>5683</v>
      </c>
    </row>
    <row r="25" spans="3:11" x14ac:dyDescent="0.2">
      <c r="C25" s="35" t="s">
        <v>120</v>
      </c>
      <c r="D25" s="35"/>
      <c r="E25" s="36">
        <f t="shared" ref="E25:K25" si="3">(E21+E24)/2</f>
        <v>3884</v>
      </c>
      <c r="F25" s="36">
        <f t="shared" si="3"/>
        <v>4207.5</v>
      </c>
      <c r="G25" s="36">
        <f t="shared" si="3"/>
        <v>4538</v>
      </c>
      <c r="H25" s="36">
        <f t="shared" si="3"/>
        <v>4867</v>
      </c>
      <c r="I25" s="36">
        <f t="shared" si="3"/>
        <v>5194.5</v>
      </c>
      <c r="J25" s="36">
        <f t="shared" si="3"/>
        <v>5520.5</v>
      </c>
      <c r="K25" s="112">
        <f t="shared" si="3"/>
        <v>5683</v>
      </c>
    </row>
    <row r="26" spans="3:11" x14ac:dyDescent="0.2">
      <c r="C26" s="100" t="s">
        <v>246</v>
      </c>
      <c r="D26" s="100"/>
      <c r="E26" s="101">
        <f>-E23/E21</f>
        <v>4.830917874396135E-3</v>
      </c>
      <c r="F26" s="102">
        <v>4.5999999999999999E-3</v>
      </c>
      <c r="G26" s="102">
        <v>4.5999999999999999E-3</v>
      </c>
      <c r="H26" s="102">
        <v>4.5999999999999999E-3</v>
      </c>
      <c r="I26" s="102">
        <v>4.5999999999999999E-3</v>
      </c>
      <c r="J26" s="102">
        <v>4.5999999999999999E-3</v>
      </c>
      <c r="K26" s="140">
        <v>4.5999999999999999E-3</v>
      </c>
    </row>
    <row r="27" spans="3:11" x14ac:dyDescent="0.2">
      <c r="C27" s="35"/>
      <c r="D27" s="35"/>
      <c r="E27" s="156"/>
      <c r="F27" s="157"/>
      <c r="G27" s="157"/>
      <c r="H27" s="157"/>
      <c r="I27" s="157"/>
      <c r="J27" s="157"/>
      <c r="K27" s="157"/>
    </row>
    <row r="28" spans="3:11" ht="14" customHeight="1" x14ac:dyDescent="0.2">
      <c r="C28" s="61" t="s">
        <v>121</v>
      </c>
      <c r="D28" s="61"/>
      <c r="E28" s="61"/>
      <c r="F28" s="61"/>
      <c r="G28" s="61"/>
      <c r="H28" s="61"/>
      <c r="I28" s="61"/>
      <c r="J28" s="61"/>
      <c r="K28" s="61"/>
    </row>
    <row r="29" spans="3:11" x14ac:dyDescent="0.2">
      <c r="C29" s="3" t="s">
        <v>122</v>
      </c>
      <c r="E29" s="39">
        <v>-1.7000000000000001E-2</v>
      </c>
      <c r="F29" s="20">
        <v>0</v>
      </c>
      <c r="G29" s="20">
        <v>1.4999999999999999E-2</v>
      </c>
      <c r="H29" s="20">
        <v>0.02</v>
      </c>
      <c r="I29" s="20">
        <v>2.5000000000000001E-2</v>
      </c>
      <c r="J29" s="41">
        <v>2.5000000000000001E-2</v>
      </c>
      <c r="K29" s="115">
        <f>$E$17</f>
        <v>2.5000000000000001E-2</v>
      </c>
    </row>
    <row r="30" spans="3:11" x14ac:dyDescent="0.2">
      <c r="C30" s="97" t="s">
        <v>123</v>
      </c>
      <c r="D30" s="97"/>
      <c r="E30" s="103">
        <v>3.1040000000000001</v>
      </c>
      <c r="F30" s="104">
        <f>E30*(1+F29)</f>
        <v>3.1040000000000001</v>
      </c>
      <c r="G30" s="104">
        <f t="shared" ref="G30:K30" si="4">F30*(1+G29)</f>
        <v>3.1505599999999996</v>
      </c>
      <c r="H30" s="104">
        <f t="shared" si="4"/>
        <v>3.2135711999999996</v>
      </c>
      <c r="I30" s="104">
        <f t="shared" si="4"/>
        <v>3.2939104799999992</v>
      </c>
      <c r="J30" s="104">
        <f t="shared" si="4"/>
        <v>3.3762582419999987</v>
      </c>
      <c r="K30" s="116">
        <f t="shared" si="4"/>
        <v>3.4606646980499982</v>
      </c>
    </row>
    <row r="31" spans="3:11" x14ac:dyDescent="0.2">
      <c r="E31" s="28"/>
      <c r="F31" s="29"/>
      <c r="G31" s="29"/>
      <c r="H31" s="29"/>
      <c r="I31" s="29"/>
      <c r="J31" s="46"/>
      <c r="K31" s="29"/>
    </row>
    <row r="32" spans="3:11" ht="14" customHeight="1" x14ac:dyDescent="0.2">
      <c r="C32" s="151" t="s">
        <v>269</v>
      </c>
      <c r="D32" s="61"/>
      <c r="E32" s="61"/>
      <c r="F32" s="61"/>
      <c r="G32" s="61"/>
      <c r="H32" s="61"/>
      <c r="I32" s="61"/>
      <c r="J32" s="61"/>
      <c r="K32" s="61"/>
    </row>
    <row r="33" spans="3:11" x14ac:dyDescent="0.2">
      <c r="C33" s="3" t="s">
        <v>124</v>
      </c>
      <c r="E33" s="31">
        <f>Historicals!G13</f>
        <v>0.29574962301690289</v>
      </c>
      <c r="F33" s="32">
        <v>0.29580000000000001</v>
      </c>
      <c r="G33" s="32">
        <v>0.29599999999999999</v>
      </c>
      <c r="H33" s="32">
        <v>0.29599999999999999</v>
      </c>
      <c r="I33" s="32">
        <v>0.29599999999999999</v>
      </c>
      <c r="J33" s="42">
        <v>0.29599999999999999</v>
      </c>
      <c r="K33" s="117">
        <v>0.29599999999999999</v>
      </c>
    </row>
    <row r="34" spans="3:11" x14ac:dyDescent="0.2">
      <c r="C34" s="3" t="s">
        <v>88</v>
      </c>
      <c r="E34" s="31">
        <f>Historicals!G15</f>
        <v>0.25086199010012156</v>
      </c>
      <c r="F34" s="32">
        <v>0.25090000000000001</v>
      </c>
      <c r="G34" s="32">
        <v>0.25</v>
      </c>
      <c r="H34" s="32">
        <v>0.25</v>
      </c>
      <c r="I34" s="32">
        <v>0.248</v>
      </c>
      <c r="J34" s="42">
        <v>0.247</v>
      </c>
      <c r="K34" s="117">
        <v>0.247</v>
      </c>
    </row>
    <row r="35" spans="3:11" x14ac:dyDescent="0.2">
      <c r="C35" s="3" t="s">
        <v>125</v>
      </c>
      <c r="E35" s="31">
        <f>Historicals!G17</f>
        <v>5.2399707151027437E-2</v>
      </c>
      <c r="F35" s="32">
        <v>5.2400000000000002E-2</v>
      </c>
      <c r="G35" s="32">
        <v>5.1999999999999998E-2</v>
      </c>
      <c r="H35" s="32">
        <v>5.1999999999999998E-2</v>
      </c>
      <c r="I35" s="32">
        <v>5.1499999999999997E-2</v>
      </c>
      <c r="J35" s="42">
        <v>5.0999999999999997E-2</v>
      </c>
      <c r="K35" s="117">
        <v>5.0999999999999997E-2</v>
      </c>
    </row>
    <row r="36" spans="3:11" x14ac:dyDescent="0.2">
      <c r="C36" s="3" t="s">
        <v>56</v>
      </c>
      <c r="E36" s="31">
        <f>Historicals!G19</f>
        <v>0.14723148963310109</v>
      </c>
      <c r="F36" s="32">
        <v>0.1472</v>
      </c>
      <c r="G36" s="32">
        <v>0.14649999999999999</v>
      </c>
      <c r="H36" s="32">
        <v>0.14599999999999999</v>
      </c>
      <c r="I36" s="32">
        <v>0.14499999999999999</v>
      </c>
      <c r="J36" s="42">
        <v>0.14299999999999999</v>
      </c>
      <c r="K36" s="117">
        <v>0.14299999999999999</v>
      </c>
    </row>
    <row r="37" spans="3:11" x14ac:dyDescent="0.2">
      <c r="C37" s="3" t="s">
        <v>126</v>
      </c>
      <c r="E37" s="31">
        <f>Historicals!G25</f>
        <v>5.4673722523502173E-2</v>
      </c>
      <c r="F37" s="32">
        <v>5.4699999999999999E-2</v>
      </c>
      <c r="G37" s="32">
        <v>5.3999999999999999E-2</v>
      </c>
      <c r="H37" s="32">
        <v>5.3999999999999999E-2</v>
      </c>
      <c r="I37" s="32">
        <v>5.2999999999999999E-2</v>
      </c>
      <c r="J37" s="42">
        <v>5.1999999999999998E-2</v>
      </c>
      <c r="K37" s="117">
        <v>5.1999999999999998E-2</v>
      </c>
    </row>
    <row r="38" spans="3:11" x14ac:dyDescent="0.2">
      <c r="C38" s="3" t="s">
        <v>127</v>
      </c>
      <c r="E38" s="31">
        <f>Historicals!G29</f>
        <v>4.1513211786978277E-3</v>
      </c>
      <c r="F38" s="32">
        <v>4.1999999999999997E-3</v>
      </c>
      <c r="G38" s="32">
        <v>4.1000000000000003E-3</v>
      </c>
      <c r="H38" s="32">
        <v>4.0000000000000001E-3</v>
      </c>
      <c r="I38" s="32">
        <v>4.0000000000000001E-3</v>
      </c>
      <c r="J38" s="42">
        <v>4.0000000000000001E-3</v>
      </c>
      <c r="K38" s="117">
        <v>4.0000000000000001E-3</v>
      </c>
    </row>
    <row r="39" spans="3:11" x14ac:dyDescent="0.2">
      <c r="C39" s="3" t="s">
        <v>128</v>
      </c>
      <c r="E39" s="31">
        <f>Historicals!G31</f>
        <v>2.3062150075287609E-3</v>
      </c>
      <c r="F39" s="32">
        <v>2.3E-3</v>
      </c>
      <c r="G39" s="32">
        <v>2.2000000000000001E-3</v>
      </c>
      <c r="H39" s="32">
        <v>2.0999999999999999E-3</v>
      </c>
      <c r="I39" s="32">
        <v>2E-3</v>
      </c>
      <c r="J39" s="42">
        <v>2E-3</v>
      </c>
      <c r="K39" s="117">
        <v>2E-3</v>
      </c>
    </row>
    <row r="40" spans="3:11" x14ac:dyDescent="0.2">
      <c r="C40" s="97" t="s">
        <v>129</v>
      </c>
      <c r="D40" s="97"/>
      <c r="E40" s="105">
        <f>Historicals!G27</f>
        <v>3.0303043008063073E-2</v>
      </c>
      <c r="F40" s="106">
        <v>0.03</v>
      </c>
      <c r="G40" s="106">
        <v>0.03</v>
      </c>
      <c r="H40" s="106">
        <v>0.03</v>
      </c>
      <c r="I40" s="106">
        <v>0.03</v>
      </c>
      <c r="J40" s="106">
        <v>0.03</v>
      </c>
      <c r="K40" s="118">
        <v>0.03</v>
      </c>
    </row>
    <row r="41" spans="3:11" x14ac:dyDescent="0.2">
      <c r="E41" s="12"/>
      <c r="F41" s="12"/>
      <c r="G41" s="12"/>
      <c r="H41" s="12"/>
      <c r="I41" s="12"/>
      <c r="J41" s="47"/>
      <c r="K41" s="43"/>
    </row>
    <row r="42" spans="3:11" ht="16" x14ac:dyDescent="0.2">
      <c r="C42" s="151" t="s">
        <v>275</v>
      </c>
      <c r="D42" s="61"/>
      <c r="E42" s="61"/>
      <c r="F42" s="61"/>
      <c r="G42" s="61"/>
      <c r="H42" s="61"/>
      <c r="I42" s="61"/>
      <c r="J42" s="61"/>
      <c r="K42" s="61"/>
    </row>
    <row r="43" spans="3:11" x14ac:dyDescent="0.2">
      <c r="C43" s="3" t="s">
        <v>70</v>
      </c>
      <c r="E43" s="31">
        <f>Historicals!G48</f>
        <v>5.587441672750916E-2</v>
      </c>
      <c r="F43" s="32">
        <v>5.5E-2</v>
      </c>
      <c r="G43" s="32">
        <v>5.45E-2</v>
      </c>
      <c r="H43" s="32">
        <v>5.4300000000000001E-2</v>
      </c>
      <c r="I43" s="32">
        <v>5.2999999999999999E-2</v>
      </c>
      <c r="J43" s="42">
        <v>5.0999999999999997E-2</v>
      </c>
      <c r="K43" s="117">
        <v>4.2999999999999997E-2</v>
      </c>
    </row>
    <row r="44" spans="3:11" x14ac:dyDescent="0.2">
      <c r="C44" s="97" t="s">
        <v>87</v>
      </c>
      <c r="D44" s="97"/>
      <c r="E44" s="253">
        <f>Historicals!G50</f>
        <v>5.6372885567259584E-2</v>
      </c>
      <c r="F44" s="107">
        <v>0</v>
      </c>
      <c r="G44" s="107">
        <v>0</v>
      </c>
      <c r="H44" s="107">
        <v>0</v>
      </c>
      <c r="I44" s="107">
        <v>0</v>
      </c>
      <c r="J44" s="107">
        <v>0</v>
      </c>
      <c r="K44" s="119">
        <v>0</v>
      </c>
    </row>
    <row r="45" spans="3:11" x14ac:dyDescent="0.2">
      <c r="J45" s="45"/>
    </row>
    <row r="46" spans="3:11" ht="15" x14ac:dyDescent="0.2">
      <c r="C46" s="61" t="s">
        <v>130</v>
      </c>
      <c r="D46" s="61"/>
      <c r="E46" s="61"/>
      <c r="F46" s="61"/>
      <c r="G46" s="61"/>
      <c r="H46" s="61"/>
      <c r="I46" s="61"/>
      <c r="J46" s="61"/>
      <c r="K46" s="61"/>
    </row>
    <row r="47" spans="3:11" x14ac:dyDescent="0.2">
      <c r="C47" s="3" t="s">
        <v>138</v>
      </c>
      <c r="E47" s="40">
        <v>0</v>
      </c>
    </row>
    <row r="48" spans="3:11" x14ac:dyDescent="0.2">
      <c r="C48" s="3" t="s">
        <v>139</v>
      </c>
      <c r="E48" s="28">
        <v>350.54500000000002</v>
      </c>
    </row>
    <row r="49" spans="3:11" x14ac:dyDescent="0.2">
      <c r="C49" s="3" t="s">
        <v>140</v>
      </c>
      <c r="E49" s="28">
        <v>698.59100000000001</v>
      </c>
    </row>
    <row r="50" spans="3:11" x14ac:dyDescent="0.2">
      <c r="C50" s="3" t="s">
        <v>141</v>
      </c>
      <c r="E50" s="28">
        <v>197.12299999999999</v>
      </c>
    </row>
    <row r="51" spans="3:11" x14ac:dyDescent="0.2">
      <c r="C51" s="3" t="s">
        <v>143</v>
      </c>
      <c r="E51" s="108">
        <f>SUM(E48:E50)</f>
        <v>1246.259</v>
      </c>
    </row>
    <row r="52" spans="3:11" x14ac:dyDescent="0.2">
      <c r="C52" s="97" t="s">
        <v>142</v>
      </c>
      <c r="D52" s="97"/>
      <c r="E52" s="109">
        <v>1302.4000000000001</v>
      </c>
      <c r="F52" s="99"/>
      <c r="G52" s="99"/>
      <c r="H52" s="99"/>
      <c r="I52" s="99"/>
      <c r="J52" s="99"/>
      <c r="K52" s="99"/>
    </row>
  </sheetData>
  <phoneticPr fontId="7" type="noConversion"/>
  <pageMargins left="0.7" right="0.7" top="0.75" bottom="0.75" header="0.3" footer="0.3"/>
  <ignoredErrors>
    <ignoredError sqref="E5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2B38-19FC-A74D-8AB3-B2EC25C8C318}">
  <sheetPr>
    <tabColor theme="9" tint="0.59999389629810485"/>
  </sheetPr>
  <dimension ref="C2:R79"/>
  <sheetViews>
    <sheetView showGridLines="0" zoomScale="94" workbookViewId="0"/>
  </sheetViews>
  <sheetFormatPr baseColWidth="10" defaultRowHeight="14" x14ac:dyDescent="0.2"/>
  <cols>
    <col min="1" max="2" width="3" style="3" customWidth="1"/>
    <col min="3" max="3" width="40.83203125" style="3" customWidth="1"/>
    <col min="4" max="4" width="2.33203125" style="3" customWidth="1"/>
    <col min="5" max="18" width="13.33203125" style="4" customWidth="1"/>
    <col min="19" max="16384" width="10.83203125" style="3"/>
  </cols>
  <sheetData>
    <row r="2" spans="3:18" ht="19" x14ac:dyDescent="0.25">
      <c r="C2" s="62" t="s">
        <v>34</v>
      </c>
    </row>
    <row r="3" spans="3:18" x14ac:dyDescent="0.2">
      <c r="C3" s="5" t="s">
        <v>35</v>
      </c>
    </row>
    <row r="6" spans="3:18" ht="14" customHeight="1" x14ac:dyDescent="0.2">
      <c r="C6" s="63" t="s">
        <v>36</v>
      </c>
      <c r="D6" s="63"/>
      <c r="E6" s="63"/>
      <c r="F6" s="63"/>
      <c r="G6" s="63"/>
      <c r="H6" s="57"/>
      <c r="I6" s="57"/>
      <c r="J6" s="57"/>
      <c r="K6" s="57"/>
    </row>
    <row r="8" spans="3:18" x14ac:dyDescent="0.2">
      <c r="E8" s="6" t="s">
        <v>37</v>
      </c>
      <c r="F8" s="6" t="s">
        <v>38</v>
      </c>
      <c r="G8" s="6" t="s">
        <v>50</v>
      </c>
    </row>
    <row r="9" spans="3:18" s="8" customFormat="1" x14ac:dyDescent="0.2">
      <c r="C9" s="8" t="s">
        <v>51</v>
      </c>
      <c r="E9" s="13">
        <v>9871.6489999999994</v>
      </c>
      <c r="F9" s="13">
        <v>11313.852999999999</v>
      </c>
      <c r="G9" s="13">
        <v>11925.601000000001</v>
      </c>
      <c r="H9" s="9"/>
      <c r="I9" s="9"/>
      <c r="J9" s="9"/>
      <c r="K9" s="9"/>
      <c r="L9" s="9"/>
      <c r="M9" s="9"/>
      <c r="N9" s="9"/>
      <c r="O9" s="9"/>
      <c r="P9" s="9"/>
      <c r="Q9" s="9"/>
      <c r="R9" s="9"/>
    </row>
    <row r="10" spans="3:18" s="11" customFormat="1" x14ac:dyDescent="0.2">
      <c r="C10" s="10" t="s">
        <v>52</v>
      </c>
      <c r="E10" s="14"/>
      <c r="F10" s="24">
        <f>F9/E9-1</f>
        <v>0.14609555100672633</v>
      </c>
      <c r="G10" s="24">
        <f>G9/F9-1</f>
        <v>5.4070704294991501E-2</v>
      </c>
      <c r="H10" s="12"/>
      <c r="I10" s="12"/>
      <c r="J10" s="12"/>
      <c r="K10" s="12"/>
      <c r="L10" s="12"/>
      <c r="M10" s="12"/>
      <c r="N10" s="12"/>
      <c r="O10" s="12"/>
      <c r="P10" s="12"/>
      <c r="Q10" s="12"/>
      <c r="R10" s="12"/>
    </row>
    <row r="12" spans="3:18" x14ac:dyDescent="0.2">
      <c r="C12" s="3" t="s">
        <v>53</v>
      </c>
      <c r="E12" s="13">
        <v>2912.5639999999999</v>
      </c>
      <c r="F12" s="13">
        <v>3374.5160000000001</v>
      </c>
      <c r="G12" s="13">
        <v>3526.9920000000002</v>
      </c>
    </row>
    <row r="13" spans="3:18" s="11" customFormat="1" x14ac:dyDescent="0.2">
      <c r="C13" s="10" t="s">
        <v>54</v>
      </c>
      <c r="E13" s="16">
        <f>E12/E9</f>
        <v>0.29504331039322812</v>
      </c>
      <c r="F13" s="16">
        <f>F12/F9</f>
        <v>0.29826408386250025</v>
      </c>
      <c r="G13" s="16">
        <f>G12/G9</f>
        <v>0.29574962301690289</v>
      </c>
      <c r="H13" s="12"/>
      <c r="I13" s="12"/>
      <c r="J13" s="12"/>
      <c r="K13" s="12"/>
      <c r="L13" s="12"/>
      <c r="M13" s="12"/>
      <c r="N13" s="12"/>
      <c r="O13" s="12"/>
      <c r="P13" s="12"/>
      <c r="Q13" s="12"/>
      <c r="R13" s="12"/>
    </row>
    <row r="14" spans="3:18" x14ac:dyDescent="0.2">
      <c r="C14" s="3" t="s">
        <v>88</v>
      </c>
      <c r="E14" s="13">
        <v>2440.982</v>
      </c>
      <c r="F14" s="13">
        <v>2789.7890000000002</v>
      </c>
      <c r="G14" s="13">
        <v>2991.68</v>
      </c>
    </row>
    <row r="15" spans="3:18" x14ac:dyDescent="0.2">
      <c r="C15" s="7" t="s">
        <v>54</v>
      </c>
      <c r="E15" s="16">
        <f>E14/E9</f>
        <v>0.24727196033813603</v>
      </c>
      <c r="F15" s="16">
        <f>F14/F9</f>
        <v>0.24658169060531371</v>
      </c>
      <c r="G15" s="16">
        <f>G14/G9</f>
        <v>0.25086199010012156</v>
      </c>
    </row>
    <row r="16" spans="3:18" x14ac:dyDescent="0.2">
      <c r="C16" s="3" t="s">
        <v>55</v>
      </c>
      <c r="E16" s="13">
        <v>503.26400000000001</v>
      </c>
      <c r="F16" s="13">
        <v>563.37400000000002</v>
      </c>
      <c r="G16" s="13">
        <v>624.89800000000002</v>
      </c>
    </row>
    <row r="17" spans="3:7" x14ac:dyDescent="0.2">
      <c r="C17" s="7" t="s">
        <v>54</v>
      </c>
      <c r="E17" s="16">
        <f>E16/E9</f>
        <v>5.0980742933627407E-2</v>
      </c>
      <c r="F17" s="16">
        <f>F16/F9</f>
        <v>4.9795060975248669E-2</v>
      </c>
      <c r="G17" s="16">
        <f>G16/G9</f>
        <v>5.2399707151027437E-2</v>
      </c>
    </row>
    <row r="18" spans="3:7" x14ac:dyDescent="0.2">
      <c r="C18" s="3" t="s">
        <v>56</v>
      </c>
      <c r="E18" s="13">
        <v>1428.7470000000001</v>
      </c>
      <c r="F18" s="13">
        <v>1568.482</v>
      </c>
      <c r="G18" s="13">
        <v>1755.8240000000001</v>
      </c>
    </row>
    <row r="19" spans="3:7" x14ac:dyDescent="0.2">
      <c r="C19" s="7" t="s">
        <v>54</v>
      </c>
      <c r="E19" s="16">
        <f>E18/E9</f>
        <v>0.1447323542399046</v>
      </c>
      <c r="F19" s="16">
        <f>F18/F9</f>
        <v>0.1386337616371717</v>
      </c>
      <c r="G19" s="16">
        <f>G18/G9</f>
        <v>0.14723148963310109</v>
      </c>
    </row>
    <row r="20" spans="3:7" x14ac:dyDescent="0.2">
      <c r="E20" s="13"/>
      <c r="F20" s="13"/>
      <c r="G20" s="13"/>
    </row>
    <row r="21" spans="3:7" x14ac:dyDescent="0.2">
      <c r="C21" s="3" t="s">
        <v>57</v>
      </c>
      <c r="E21" s="15">
        <f>E12+E14+E16+E18</f>
        <v>7285.5570000000007</v>
      </c>
      <c r="F21" s="15">
        <f>F12+F14+F16+F18</f>
        <v>8296.1610000000001</v>
      </c>
      <c r="G21" s="15">
        <f>G12+G14+G16+G18</f>
        <v>8899.3940000000002</v>
      </c>
    </row>
    <row r="22" spans="3:7" x14ac:dyDescent="0.2">
      <c r="C22" s="7" t="s">
        <v>58</v>
      </c>
      <c r="E22" s="16">
        <f>1-E21/E9</f>
        <v>0.26197163209510377</v>
      </c>
      <c r="F22" s="16">
        <f>1-F21/F9</f>
        <v>0.26672540291976565</v>
      </c>
      <c r="G22" s="16">
        <f>1-G21/G9</f>
        <v>0.25375719009884701</v>
      </c>
    </row>
    <row r="23" spans="3:7" x14ac:dyDescent="0.2">
      <c r="E23" s="13"/>
      <c r="F23" s="13"/>
      <c r="G23" s="13"/>
    </row>
    <row r="24" spans="3:7" x14ac:dyDescent="0.2">
      <c r="C24" s="3" t="s">
        <v>105</v>
      </c>
      <c r="E24" s="13">
        <v>633.58399999999995</v>
      </c>
      <c r="F24" s="13">
        <v>697.48299999999995</v>
      </c>
      <c r="G24" s="13">
        <v>652.01700000000005</v>
      </c>
    </row>
    <row r="25" spans="3:7" x14ac:dyDescent="0.2">
      <c r="C25" s="7" t="s">
        <v>54</v>
      </c>
      <c r="E25" s="16">
        <f>E24/E9</f>
        <v>6.4182184759608046E-2</v>
      </c>
      <c r="F25" s="16">
        <f>F24/F9</f>
        <v>6.1648582494398682E-2</v>
      </c>
      <c r="G25" s="16">
        <f>G24/G9</f>
        <v>5.4673722523502173E-2</v>
      </c>
    </row>
    <row r="26" spans="3:7" x14ac:dyDescent="0.2">
      <c r="C26" s="3" t="s">
        <v>106</v>
      </c>
      <c r="E26" s="13">
        <v>319.39400000000001</v>
      </c>
      <c r="F26" s="13">
        <v>335.03</v>
      </c>
      <c r="G26" s="13">
        <v>361.38200000000001</v>
      </c>
    </row>
    <row r="27" spans="3:7" x14ac:dyDescent="0.2">
      <c r="C27" s="7" t="s">
        <v>54</v>
      </c>
      <c r="E27" s="16">
        <f>E26/E9</f>
        <v>3.2354675495451672E-2</v>
      </c>
      <c r="F27" s="16">
        <f>F26/F9</f>
        <v>2.9612369897328523E-2</v>
      </c>
      <c r="G27" s="16">
        <f>G26/G9</f>
        <v>3.0303043008063073E-2</v>
      </c>
    </row>
    <row r="28" spans="3:7" x14ac:dyDescent="0.2">
      <c r="C28" s="3" t="s">
        <v>59</v>
      </c>
      <c r="E28" s="13">
        <v>36.930999999999997</v>
      </c>
      <c r="F28" s="13">
        <v>41.896999999999998</v>
      </c>
      <c r="G28" s="13">
        <v>49.506999999999998</v>
      </c>
    </row>
    <row r="29" spans="3:7" x14ac:dyDescent="0.2">
      <c r="C29" s="7" t="s">
        <v>54</v>
      </c>
      <c r="E29" s="16">
        <f>E28/E9</f>
        <v>3.7411176187483975E-3</v>
      </c>
      <c r="F29" s="16">
        <f>F28/F9</f>
        <v>3.7031593039082268E-3</v>
      </c>
      <c r="G29" s="16">
        <f>G28/G9</f>
        <v>4.1513211786978277E-3</v>
      </c>
    </row>
    <row r="30" spans="3:7" x14ac:dyDescent="0.2">
      <c r="C30" s="3" t="s">
        <v>60</v>
      </c>
      <c r="E30" s="13">
        <v>38.369999999999997</v>
      </c>
      <c r="F30" s="13">
        <v>26.949000000000002</v>
      </c>
      <c r="G30" s="13">
        <v>27.503</v>
      </c>
    </row>
    <row r="31" spans="3:7" x14ac:dyDescent="0.2">
      <c r="C31" s="7" t="s">
        <v>54</v>
      </c>
      <c r="E31" s="16">
        <f>E30/E9</f>
        <v>3.8868886039201758E-3</v>
      </c>
      <c r="F31" s="16">
        <f>F30/F9</f>
        <v>2.3819471580548202E-3</v>
      </c>
      <c r="G31" s="16">
        <f>G30/G9</f>
        <v>2.3062150075287609E-3</v>
      </c>
    </row>
    <row r="32" spans="3:7" x14ac:dyDescent="0.2">
      <c r="E32" s="13"/>
      <c r="F32" s="13"/>
      <c r="G32" s="13"/>
    </row>
    <row r="33" spans="3:7" x14ac:dyDescent="0.2">
      <c r="C33" s="3" t="s">
        <v>61</v>
      </c>
      <c r="E33" s="13">
        <v>8313.8359999999993</v>
      </c>
      <c r="F33" s="13">
        <v>9397.52</v>
      </c>
      <c r="G33" s="13">
        <v>9989.8029999999999</v>
      </c>
    </row>
    <row r="34" spans="3:7" x14ac:dyDescent="0.2">
      <c r="E34" s="13"/>
      <c r="F34" s="13"/>
      <c r="G34" s="13"/>
    </row>
    <row r="35" spans="3:7" x14ac:dyDescent="0.2">
      <c r="C35" s="3" t="s">
        <v>62</v>
      </c>
      <c r="E35" s="13">
        <v>1557.8130000000001</v>
      </c>
      <c r="F35" s="13">
        <v>1916.3330000000001</v>
      </c>
      <c r="G35" s="13">
        <v>1935.798</v>
      </c>
    </row>
    <row r="36" spans="3:7" x14ac:dyDescent="0.2">
      <c r="C36" s="7" t="s">
        <v>63</v>
      </c>
      <c r="E36" s="16">
        <f>E35/E9</f>
        <v>0.15780676561737558</v>
      </c>
      <c r="F36" s="16">
        <f>F35/F9</f>
        <v>0.16937934406607547</v>
      </c>
      <c r="G36" s="16">
        <f>G35/G9</f>
        <v>0.16232288838105516</v>
      </c>
    </row>
    <row r="37" spans="3:7" x14ac:dyDescent="0.2">
      <c r="E37" s="13"/>
      <c r="F37" s="13"/>
      <c r="G37" s="13"/>
    </row>
    <row r="38" spans="3:7" x14ac:dyDescent="0.2">
      <c r="C38" s="3" t="s">
        <v>10</v>
      </c>
      <c r="E38" s="15">
        <f>E35+E26</f>
        <v>1877.2070000000001</v>
      </c>
      <c r="F38" s="15">
        <f>F35+F26</f>
        <v>2251.3630000000003</v>
      </c>
      <c r="G38" s="15">
        <f>G35+G26</f>
        <v>2297.1799999999998</v>
      </c>
    </row>
    <row r="39" spans="3:7" x14ac:dyDescent="0.2">
      <c r="C39" s="7" t="s">
        <v>64</v>
      </c>
      <c r="E39" s="16">
        <f>E38/E9</f>
        <v>0.19016144111282726</v>
      </c>
      <c r="F39" s="16">
        <f>F38/F9</f>
        <v>0.19899171396340401</v>
      </c>
      <c r="G39" s="16">
        <f>G38/G9</f>
        <v>0.19262593138911824</v>
      </c>
    </row>
    <row r="40" spans="3:7" x14ac:dyDescent="0.2">
      <c r="E40" s="13"/>
      <c r="F40" s="13"/>
      <c r="G40" s="13" t="s">
        <v>107</v>
      </c>
    </row>
    <row r="41" spans="3:7" x14ac:dyDescent="0.2">
      <c r="C41" s="3" t="s">
        <v>65</v>
      </c>
      <c r="E41" s="13">
        <v>62.692999999999998</v>
      </c>
      <c r="F41" s="13">
        <v>93.897000000000006</v>
      </c>
      <c r="G41" s="13">
        <v>73.721000000000004</v>
      </c>
    </row>
    <row r="42" spans="3:7" x14ac:dyDescent="0.2">
      <c r="C42" s="3" t="s">
        <v>66</v>
      </c>
      <c r="E42" s="13">
        <v>1620.5060000000001</v>
      </c>
      <c r="F42" s="13">
        <v>2010.23</v>
      </c>
      <c r="G42" s="13">
        <v>2009.519</v>
      </c>
    </row>
    <row r="43" spans="3:7" x14ac:dyDescent="0.2">
      <c r="C43" s="3" t="s">
        <v>67</v>
      </c>
      <c r="E43" s="13">
        <v>391.76900000000001</v>
      </c>
      <c r="F43" s="13">
        <v>476.12</v>
      </c>
      <c r="G43" s="13">
        <v>473.75799999999998</v>
      </c>
    </row>
    <row r="44" spans="3:7" x14ac:dyDescent="0.2">
      <c r="C44" s="3" t="s">
        <v>68</v>
      </c>
      <c r="E44" s="16">
        <f>E43/E42</f>
        <v>0.24175720423127095</v>
      </c>
      <c r="F44" s="16">
        <f>F43/F42</f>
        <v>0.23684851982111499</v>
      </c>
      <c r="G44" s="16">
        <f>G43/G42</f>
        <v>0.23575691496323248</v>
      </c>
    </row>
    <row r="45" spans="3:7" x14ac:dyDescent="0.2">
      <c r="C45" s="3" t="s">
        <v>69</v>
      </c>
      <c r="E45" s="13">
        <v>1228.7370000000001</v>
      </c>
      <c r="F45" s="13">
        <v>1534.11</v>
      </c>
      <c r="G45" s="13">
        <v>1535.761</v>
      </c>
    </row>
    <row r="46" spans="3:7" x14ac:dyDescent="0.2">
      <c r="E46" s="13"/>
      <c r="F46" s="13"/>
      <c r="G46" s="13"/>
    </row>
    <row r="47" spans="3:7" x14ac:dyDescent="0.2">
      <c r="C47" s="3" t="s">
        <v>70</v>
      </c>
      <c r="E47" s="13">
        <v>560.73099999999999</v>
      </c>
      <c r="F47" s="13">
        <v>593.60299999999995</v>
      </c>
      <c r="G47" s="13">
        <v>666.33600000000001</v>
      </c>
    </row>
    <row r="48" spans="3:7" x14ac:dyDescent="0.2">
      <c r="C48" s="7" t="s">
        <v>54</v>
      </c>
      <c r="E48" s="16">
        <f>E47/E9</f>
        <v>5.6802161422068391E-2</v>
      </c>
      <c r="F48" s="16">
        <f>F47/F9</f>
        <v>5.2466918210798741E-2</v>
      </c>
      <c r="G48" s="16">
        <f>G47/G9</f>
        <v>5.587441672750916E-2</v>
      </c>
    </row>
    <row r="49" spans="3:7" x14ac:dyDescent="0.2">
      <c r="C49" s="3" t="s">
        <v>71</v>
      </c>
      <c r="E49" s="15">
        <f>E61</f>
        <v>-47.158000000000015</v>
      </c>
      <c r="F49" s="15">
        <f>F61</f>
        <v>-86.92</v>
      </c>
      <c r="G49" s="15">
        <f>G61</f>
        <v>34.485999999999997</v>
      </c>
    </row>
    <row r="50" spans="3:7" x14ac:dyDescent="0.2">
      <c r="C50" s="7" t="s">
        <v>72</v>
      </c>
      <c r="E50" s="13"/>
      <c r="F50" s="20">
        <f>F49/(F9-E9)</f>
        <v>-6.0268866263025217E-2</v>
      </c>
      <c r="G50" s="20">
        <f>G49/(G9-F9)</f>
        <v>5.6372885567259584E-2</v>
      </c>
    </row>
    <row r="51" spans="3:7" x14ac:dyDescent="0.2">
      <c r="C51" s="7"/>
      <c r="E51" s="13"/>
      <c r="F51" s="13"/>
      <c r="G51" s="13"/>
    </row>
    <row r="52" spans="3:7" ht="15" x14ac:dyDescent="0.2">
      <c r="C52" s="120" t="s">
        <v>78</v>
      </c>
      <c r="D52" s="120"/>
      <c r="E52" s="121"/>
      <c r="F52" s="121"/>
      <c r="G52" s="121"/>
    </row>
    <row r="53" spans="3:7" x14ac:dyDescent="0.2">
      <c r="C53" s="122" t="s">
        <v>79</v>
      </c>
      <c r="D53" s="123"/>
      <c r="E53" s="124">
        <v>-11.215999999999999</v>
      </c>
      <c r="F53" s="124">
        <v>-29.274000000000001</v>
      </c>
      <c r="G53" s="124">
        <v>-11.382999999999999</v>
      </c>
    </row>
    <row r="54" spans="3:7" x14ac:dyDescent="0.2">
      <c r="C54" s="125" t="s">
        <v>80</v>
      </c>
      <c r="D54" s="126"/>
      <c r="E54" s="127">
        <v>-3.649</v>
      </c>
      <c r="F54" s="127">
        <v>-9.7970000000000006</v>
      </c>
      <c r="G54" s="127">
        <v>-0.71</v>
      </c>
    </row>
    <row r="55" spans="3:7" x14ac:dyDescent="0.2">
      <c r="C55" s="125" t="s">
        <v>81</v>
      </c>
      <c r="D55" s="126"/>
      <c r="E55" s="127">
        <v>-39.210999999999999</v>
      </c>
      <c r="F55" s="127">
        <v>9.2439999999999998</v>
      </c>
      <c r="G55" s="127">
        <v>-33.042000000000002</v>
      </c>
    </row>
    <row r="56" spans="3:7" x14ac:dyDescent="0.2">
      <c r="C56" s="125" t="s">
        <v>82</v>
      </c>
      <c r="D56" s="126"/>
      <c r="E56" s="127">
        <v>5.3129999999999997</v>
      </c>
      <c r="F56" s="127">
        <v>8.4670000000000005</v>
      </c>
      <c r="G56" s="127">
        <v>-7.4489999999999998</v>
      </c>
    </row>
    <row r="57" spans="3:7" x14ac:dyDescent="0.2">
      <c r="C57" s="125" t="s">
        <v>83</v>
      </c>
      <c r="D57" s="126"/>
      <c r="E57" s="127">
        <v>57.048000000000002</v>
      </c>
      <c r="F57" s="127">
        <v>34.856999999999999</v>
      </c>
      <c r="G57" s="127">
        <v>-12.113</v>
      </c>
    </row>
    <row r="58" spans="3:7" x14ac:dyDescent="0.2">
      <c r="C58" s="125" t="s">
        <v>84</v>
      </c>
      <c r="D58" s="126"/>
      <c r="E58" s="127">
        <v>3.1880000000000002</v>
      </c>
      <c r="F58" s="127">
        <v>27.283999999999999</v>
      </c>
      <c r="G58" s="127">
        <v>-10.499000000000001</v>
      </c>
    </row>
    <row r="59" spans="3:7" x14ac:dyDescent="0.2">
      <c r="C59" s="125" t="s">
        <v>85</v>
      </c>
      <c r="D59" s="126"/>
      <c r="E59" s="127">
        <v>35.685000000000002</v>
      </c>
      <c r="F59" s="127">
        <v>46.139000000000003</v>
      </c>
      <c r="G59" s="127">
        <v>40.71</v>
      </c>
    </row>
    <row r="60" spans="3:7" x14ac:dyDescent="0.2">
      <c r="C60" s="128" t="s">
        <v>86</v>
      </c>
      <c r="D60" s="129"/>
      <c r="E60" s="130">
        <f>SUM(E53:E59)</f>
        <v>47.158000000000015</v>
      </c>
      <c r="F60" s="130">
        <f>SUM(F53:F59)</f>
        <v>86.92</v>
      </c>
      <c r="G60" s="130">
        <f>SUM(G53:G59)</f>
        <v>-34.485999999999997</v>
      </c>
    </row>
    <row r="61" spans="3:7" x14ac:dyDescent="0.2">
      <c r="C61" s="131" t="s">
        <v>87</v>
      </c>
      <c r="D61" s="132"/>
      <c r="E61" s="133">
        <f>-E60</f>
        <v>-47.158000000000015</v>
      </c>
      <c r="F61" s="133">
        <f>-F60</f>
        <v>-86.92</v>
      </c>
      <c r="G61" s="133">
        <f>-G60</f>
        <v>34.485999999999997</v>
      </c>
    </row>
    <row r="62" spans="3:7" x14ac:dyDescent="0.2">
      <c r="E62" s="13"/>
      <c r="F62" s="13"/>
      <c r="G62" s="13"/>
    </row>
    <row r="63" spans="3:7" x14ac:dyDescent="0.2">
      <c r="C63" s="17" t="s">
        <v>77</v>
      </c>
      <c r="D63" s="18"/>
      <c r="E63" s="19"/>
      <c r="F63" s="19"/>
      <c r="G63" s="19"/>
    </row>
    <row r="64" spans="3:7" x14ac:dyDescent="0.2">
      <c r="C64" s="3" t="s">
        <v>73</v>
      </c>
      <c r="E64" s="15" t="b">
        <f>E12+E14+E16+E18+E24+E26+E28+E30=E33</f>
        <v>1</v>
      </c>
      <c r="F64" s="15" t="b">
        <f>F12+F14+F16+F18+F24+F26+F28+F30=F33</f>
        <v>1</v>
      </c>
      <c r="G64" s="15" t="b">
        <f>G12+G14+G16+G18+G24+G26+G28+G30=G33</f>
        <v>1</v>
      </c>
    </row>
    <row r="65" spans="3:7" x14ac:dyDescent="0.2">
      <c r="C65" s="3" t="s">
        <v>74</v>
      </c>
      <c r="E65" s="15" t="b">
        <f>E9-E33=E35</f>
        <v>1</v>
      </c>
      <c r="F65" s="15" t="b">
        <f>F9-F33=F35</f>
        <v>1</v>
      </c>
      <c r="G65" s="15" t="b">
        <f>G9-G33=G35</f>
        <v>1</v>
      </c>
    </row>
    <row r="66" spans="3:7" x14ac:dyDescent="0.2">
      <c r="C66" s="3" t="s">
        <v>75</v>
      </c>
      <c r="E66" s="15" t="b">
        <f>E35+E41=E42</f>
        <v>1</v>
      </c>
      <c r="F66" s="15" t="b">
        <f>F35+F41=F42</f>
        <v>1</v>
      </c>
      <c r="G66" s="15" t="b">
        <f>G35+G41=G42</f>
        <v>1</v>
      </c>
    </row>
    <row r="67" spans="3:7" x14ac:dyDescent="0.2">
      <c r="C67" s="3" t="s">
        <v>76</v>
      </c>
      <c r="E67" s="15" t="b">
        <f>E42-E43=E45</f>
        <v>1</v>
      </c>
      <c r="F67" s="15" t="b">
        <f>F42-F43=F45</f>
        <v>1</v>
      </c>
      <c r="G67" s="15" t="b">
        <f>G42-G43=G45</f>
        <v>1</v>
      </c>
    </row>
    <row r="78" spans="3:7" x14ac:dyDescent="0.2">
      <c r="E78" s="2"/>
    </row>
    <row r="79" spans="3:7" x14ac:dyDescent="0.2">
      <c r="E79"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5C20-5CCD-5B4D-9C81-C9167CEADECE}">
  <sheetPr>
    <tabColor rgb="FFFFC000"/>
  </sheetPr>
  <dimension ref="B2:R84"/>
  <sheetViews>
    <sheetView showGridLines="0" zoomScale="85" zoomScaleNormal="50" workbookViewId="0"/>
  </sheetViews>
  <sheetFormatPr baseColWidth="10" defaultRowHeight="14" x14ac:dyDescent="0.2"/>
  <cols>
    <col min="1" max="2" width="3" style="1" customWidth="1"/>
    <col min="3" max="3" width="42.5" style="1" customWidth="1"/>
    <col min="4" max="4" width="7.33203125" style="51" customWidth="1"/>
    <col min="5" max="18" width="13.33203125" style="2" customWidth="1"/>
    <col min="19" max="16384" width="10.83203125" style="1"/>
  </cols>
  <sheetData>
    <row r="2" spans="3:18" ht="19" x14ac:dyDescent="0.25">
      <c r="C2" s="66" t="s">
        <v>15</v>
      </c>
    </row>
    <row r="3" spans="3:18" ht="14" customHeight="1" x14ac:dyDescent="0.2">
      <c r="C3" s="137" t="s">
        <v>0</v>
      </c>
      <c r="D3" s="135"/>
      <c r="E3" s="145" t="s">
        <v>257</v>
      </c>
      <c r="F3" s="145"/>
      <c r="G3" s="145"/>
      <c r="H3" s="146"/>
    </row>
    <row r="4" spans="3:18" ht="14" customHeight="1" x14ac:dyDescent="0.2">
      <c r="C4" s="138" t="s">
        <v>1</v>
      </c>
      <c r="D4" s="134"/>
      <c r="E4" s="143">
        <v>46022</v>
      </c>
      <c r="F4" s="1"/>
      <c r="G4" s="1"/>
      <c r="H4" s="144"/>
    </row>
    <row r="5" spans="3:18" ht="14" customHeight="1" x14ac:dyDescent="0.2">
      <c r="C5" s="139" t="s">
        <v>2</v>
      </c>
      <c r="D5" s="136"/>
      <c r="E5" s="147" t="s">
        <v>258</v>
      </c>
      <c r="F5" s="147"/>
      <c r="G5" s="147"/>
      <c r="H5" s="148"/>
    </row>
    <row r="7" spans="3:18" ht="14" customHeight="1" x14ac:dyDescent="0.2">
      <c r="C7" s="64" t="s">
        <v>3</v>
      </c>
      <c r="D7" s="64"/>
      <c r="E7" s="64"/>
      <c r="F7" s="64"/>
      <c r="G7" s="64"/>
      <c r="H7" s="64"/>
      <c r="I7" s="64"/>
      <c r="J7" s="64"/>
      <c r="K7" s="64"/>
    </row>
    <row r="8" spans="3:18" x14ac:dyDescent="0.2">
      <c r="C8" s="1" t="s">
        <v>4</v>
      </c>
      <c r="D8" s="52"/>
      <c r="E8" s="171">
        <f>Assumptions!E13</f>
        <v>7.6721800000000007E-2</v>
      </c>
    </row>
    <row r="9" spans="3:18" x14ac:dyDescent="0.2">
      <c r="C9" s="1" t="s">
        <v>5</v>
      </c>
      <c r="D9" s="53"/>
      <c r="E9" s="173">
        <f>Assumptions!E17</f>
        <v>2.5000000000000001E-2</v>
      </c>
    </row>
    <row r="10" spans="3:18" x14ac:dyDescent="0.2">
      <c r="C10" s="1" t="s">
        <v>6</v>
      </c>
      <c r="D10" s="52"/>
      <c r="E10" s="171">
        <f>Assumptions!E16</f>
        <v>0.23575691496323248</v>
      </c>
    </row>
    <row r="11" spans="3:18" x14ac:dyDescent="0.2">
      <c r="C11" s="1" t="s">
        <v>7</v>
      </c>
      <c r="D11" s="54"/>
      <c r="E11" s="172">
        <f>Assumptions!E18</f>
        <v>5</v>
      </c>
    </row>
    <row r="12" spans="3:18" x14ac:dyDescent="0.2">
      <c r="D12" s="55"/>
    </row>
    <row r="13" spans="3:18" ht="14" customHeight="1" x14ac:dyDescent="0.2">
      <c r="C13" s="65" t="s">
        <v>8</v>
      </c>
      <c r="D13" s="65"/>
      <c r="E13" s="65"/>
      <c r="F13" s="65"/>
      <c r="G13" s="65"/>
      <c r="H13" s="65"/>
      <c r="I13" s="65"/>
      <c r="J13" s="65"/>
      <c r="K13" s="65"/>
    </row>
    <row r="14" spans="3:18" ht="14" customHeight="1" x14ac:dyDescent="0.2"/>
    <row r="15" spans="3:18" x14ac:dyDescent="0.2">
      <c r="C15" s="176"/>
      <c r="D15" s="177"/>
      <c r="E15" s="182" t="s">
        <v>137</v>
      </c>
      <c r="F15" s="182" t="s">
        <v>131</v>
      </c>
      <c r="G15" s="182" t="s">
        <v>132</v>
      </c>
      <c r="H15" s="182" t="s">
        <v>133</v>
      </c>
      <c r="I15" s="182" t="s">
        <v>134</v>
      </c>
      <c r="J15" s="182" t="s">
        <v>135</v>
      </c>
      <c r="K15" s="187" t="s">
        <v>272</v>
      </c>
    </row>
    <row r="16" spans="3:18" ht="16" x14ac:dyDescent="0.2">
      <c r="C16" s="1" t="s">
        <v>265</v>
      </c>
      <c r="E16" s="153">
        <f>Assumptions!E25</f>
        <v>3884</v>
      </c>
      <c r="F16" s="153">
        <f>Assumptions!F25</f>
        <v>4207.5</v>
      </c>
      <c r="G16" s="153">
        <f>Assumptions!G25</f>
        <v>4538</v>
      </c>
      <c r="H16" s="153">
        <f>Assumptions!H25</f>
        <v>4867</v>
      </c>
      <c r="I16" s="153">
        <f>Assumptions!I25</f>
        <v>5194.5</v>
      </c>
      <c r="J16" s="153">
        <f>Assumptions!J25</f>
        <v>5520.5</v>
      </c>
      <c r="K16" s="224">
        <f>Assumptions!K25</f>
        <v>5683</v>
      </c>
      <c r="M16"/>
      <c r="N16"/>
      <c r="O16"/>
      <c r="P16"/>
      <c r="Q16"/>
      <c r="R16"/>
    </row>
    <row r="17" spans="3:18" ht="16" x14ac:dyDescent="0.2">
      <c r="C17" s="1" t="s">
        <v>123</v>
      </c>
      <c r="E17" s="154">
        <f>Assumptions!E30</f>
        <v>3.1040000000000001</v>
      </c>
      <c r="F17" s="154">
        <f>Assumptions!F30</f>
        <v>3.1040000000000001</v>
      </c>
      <c r="G17" s="154">
        <f>Assumptions!G30</f>
        <v>3.1505599999999996</v>
      </c>
      <c r="H17" s="154">
        <f>Assumptions!H30</f>
        <v>3.2135711999999996</v>
      </c>
      <c r="I17" s="154">
        <f>Assumptions!I30</f>
        <v>3.2939104799999992</v>
      </c>
      <c r="J17" s="154">
        <f>Assumptions!J30</f>
        <v>3.3762582419999987</v>
      </c>
      <c r="K17" s="158">
        <f>Assumptions!K30</f>
        <v>3.4606646980499982</v>
      </c>
      <c r="M17"/>
      <c r="N17"/>
      <c r="O17"/>
      <c r="P17"/>
      <c r="Q17"/>
      <c r="R17"/>
    </row>
    <row r="18" spans="3:18" ht="16" x14ac:dyDescent="0.2">
      <c r="C18" s="183" t="s">
        <v>266</v>
      </c>
      <c r="E18" s="160">
        <f>E16*E17</f>
        <v>12055.936</v>
      </c>
      <c r="F18" s="160">
        <f t="shared" ref="F18:J18" si="0">F16*F17</f>
        <v>13060.08</v>
      </c>
      <c r="G18" s="160">
        <f t="shared" si="0"/>
        <v>14297.241279999998</v>
      </c>
      <c r="H18" s="160">
        <f t="shared" si="0"/>
        <v>15640.451030399998</v>
      </c>
      <c r="I18" s="160">
        <f t="shared" si="0"/>
        <v>17110.217988359997</v>
      </c>
      <c r="J18" s="160">
        <f t="shared" si="0"/>
        <v>18638.633624960992</v>
      </c>
      <c r="K18" s="161">
        <f>K16*K17</f>
        <v>19666.95747901814</v>
      </c>
      <c r="M18"/>
      <c r="N18"/>
      <c r="O18"/>
      <c r="P18"/>
      <c r="Q18"/>
      <c r="R18"/>
    </row>
    <row r="19" spans="3:18" ht="16" x14ac:dyDescent="0.2">
      <c r="C19" s="183" t="s">
        <v>267</v>
      </c>
      <c r="E19" s="162">
        <f>Historicals!G9/DCF!E18</f>
        <v>0.98918914300805849</v>
      </c>
      <c r="F19" s="162">
        <f>$E$19</f>
        <v>0.98918914300805849</v>
      </c>
      <c r="G19" s="162">
        <f t="shared" ref="G19:J19" si="1">$E$19</f>
        <v>0.98918914300805849</v>
      </c>
      <c r="H19" s="162">
        <f t="shared" si="1"/>
        <v>0.98918914300805849</v>
      </c>
      <c r="I19" s="162">
        <f t="shared" si="1"/>
        <v>0.98918914300805849</v>
      </c>
      <c r="J19" s="162">
        <f t="shared" si="1"/>
        <v>0.98918914300805849</v>
      </c>
      <c r="K19" s="163">
        <f>$E$19</f>
        <v>0.98918914300805849</v>
      </c>
      <c r="M19"/>
      <c r="N19"/>
      <c r="O19"/>
      <c r="P19"/>
      <c r="Q19"/>
      <c r="R19"/>
    </row>
    <row r="20" spans="3:18" ht="16" x14ac:dyDescent="0.2">
      <c r="C20" s="178" t="s">
        <v>9</v>
      </c>
      <c r="D20" s="179"/>
      <c r="E20" s="170">
        <f>E18*E19</f>
        <v>11925.601000000001</v>
      </c>
      <c r="F20" s="170">
        <f t="shared" ref="F20" si="2">F18*F19</f>
        <v>12918.889342816685</v>
      </c>
      <c r="G20" s="170">
        <f>G18*G19</f>
        <v>14142.675849142635</v>
      </c>
      <c r="H20" s="170">
        <f>H18*H19</f>
        <v>15471.364351020879</v>
      </c>
      <c r="I20" s="170">
        <f>I18*I19</f>
        <v>16925.241868586891</v>
      </c>
      <c r="J20" s="170">
        <f>J18*J19</f>
        <v>18437.134022316346</v>
      </c>
      <c r="K20" s="180">
        <f>K18*K19</f>
        <v>19454.340814245879</v>
      </c>
      <c r="M20"/>
      <c r="N20"/>
      <c r="O20"/>
      <c r="P20"/>
      <c r="Q20"/>
      <c r="R20"/>
    </row>
    <row r="21" spans="3:18" ht="16" x14ac:dyDescent="0.2">
      <c r="C21" s="185" t="s">
        <v>268</v>
      </c>
      <c r="E21" s="225">
        <f>Historicals!G10</f>
        <v>5.4070704294991501E-2</v>
      </c>
      <c r="F21" s="166">
        <f t="shared" ref="F21:K21" si="3">F20/E20-1</f>
        <v>8.3290422245108076E-2</v>
      </c>
      <c r="G21" s="166">
        <f t="shared" si="3"/>
        <v>9.4728461081402093E-2</v>
      </c>
      <c r="H21" s="166">
        <f t="shared" si="3"/>
        <v>9.3948876156897176E-2</v>
      </c>
      <c r="I21" s="166">
        <f t="shared" si="3"/>
        <v>9.3972159441134018E-2</v>
      </c>
      <c r="J21" s="166">
        <f t="shared" si="3"/>
        <v>8.9327654249687027E-2</v>
      </c>
      <c r="K21" s="167">
        <f t="shared" si="3"/>
        <v>5.5171633004256648E-2</v>
      </c>
      <c r="M21"/>
      <c r="N21"/>
      <c r="O21"/>
      <c r="P21"/>
      <c r="Q21"/>
      <c r="R21"/>
    </row>
    <row r="22" spans="3:18" x14ac:dyDescent="0.2">
      <c r="E22" s="155"/>
      <c r="F22" s="155"/>
      <c r="G22" s="155"/>
      <c r="H22" s="155"/>
      <c r="I22" s="155"/>
      <c r="J22" s="155"/>
      <c r="K22" s="159"/>
    </row>
    <row r="23" spans="3:18" x14ac:dyDescent="0.2">
      <c r="C23" s="196" t="s">
        <v>124</v>
      </c>
      <c r="E23" s="168">
        <f>-E20*Assumptions!E33</f>
        <v>-3526.9920000000002</v>
      </c>
      <c r="F23" s="168">
        <f>-F20*Assumptions!F33</f>
        <v>-3821.4074676051755</v>
      </c>
      <c r="G23" s="168">
        <f>-G20*Assumptions!G33</f>
        <v>-4186.23205134622</v>
      </c>
      <c r="H23" s="168">
        <f>-H20*Assumptions!H33</f>
        <v>-4579.52384790218</v>
      </c>
      <c r="I23" s="168">
        <f>-I20*Assumptions!I33</f>
        <v>-5009.8715931017196</v>
      </c>
      <c r="J23" s="168">
        <f>-J20*Assumptions!J33</f>
        <v>-5457.391670605638</v>
      </c>
      <c r="K23" s="169">
        <f>-K20*Assumptions!K33</f>
        <v>-5758.4848810167796</v>
      </c>
    </row>
    <row r="24" spans="3:18" x14ac:dyDescent="0.2">
      <c r="C24" s="196" t="s">
        <v>88</v>
      </c>
      <c r="E24" s="168">
        <f>-E20*Assumptions!E34</f>
        <v>-2991.68</v>
      </c>
      <c r="F24" s="168">
        <f>-F20*Assumptions!F34</f>
        <v>-3241.3493361127062</v>
      </c>
      <c r="G24" s="168">
        <f>-G20*Assumptions!G34</f>
        <v>-3535.6689622856588</v>
      </c>
      <c r="H24" s="168">
        <f>-H20*Assumptions!H34</f>
        <v>-3867.8410877552196</v>
      </c>
      <c r="I24" s="168">
        <f>-I20*Assumptions!I34</f>
        <v>-4197.4599834095488</v>
      </c>
      <c r="J24" s="168">
        <f>-J20*Assumptions!J34</f>
        <v>-4553.9721035121374</v>
      </c>
      <c r="K24" s="169">
        <f>-K20*Assumptions!K34</f>
        <v>-4805.2221811187319</v>
      </c>
    </row>
    <row r="25" spans="3:18" x14ac:dyDescent="0.2">
      <c r="C25" s="196" t="s">
        <v>125</v>
      </c>
      <c r="E25" s="168">
        <f>-E20*Assumptions!E35</f>
        <v>-624.89800000000002</v>
      </c>
      <c r="F25" s="168">
        <f>-F20*Assumptions!F35</f>
        <v>-676.94980156359429</v>
      </c>
      <c r="G25" s="168">
        <f>-G20*Assumptions!G35</f>
        <v>-735.41914415541703</v>
      </c>
      <c r="H25" s="168">
        <f>-H20*Assumptions!H35</f>
        <v>-804.51094625308565</v>
      </c>
      <c r="I25" s="168">
        <f>-I20*Assumptions!I35</f>
        <v>-871.64995623222478</v>
      </c>
      <c r="J25" s="168">
        <f>-J20*Assumptions!J35</f>
        <v>-940.29383513813355</v>
      </c>
      <c r="K25" s="169">
        <f>-K20*Assumptions!K35</f>
        <v>-992.17138152653979</v>
      </c>
    </row>
    <row r="26" spans="3:18" x14ac:dyDescent="0.2">
      <c r="C26" s="196" t="s">
        <v>56</v>
      </c>
      <c r="E26" s="168">
        <f>-E20*Assumptions!E36</f>
        <v>-1755.8240000000001</v>
      </c>
      <c r="F26" s="168">
        <f>-F20*Assumptions!F36</f>
        <v>-1901.660511262616</v>
      </c>
      <c r="G26" s="168">
        <f>-G20*Assumptions!G36</f>
        <v>-2071.9020118993958</v>
      </c>
      <c r="H26" s="168">
        <f>-H20*Assumptions!H36</f>
        <v>-2258.8191952490483</v>
      </c>
      <c r="I26" s="168">
        <f>-I20*Assumptions!I36</f>
        <v>-2454.1600709450991</v>
      </c>
      <c r="J26" s="168">
        <f>-J20*Assumptions!J36</f>
        <v>-2636.5101651912373</v>
      </c>
      <c r="K26" s="169">
        <f>-K20*Assumptions!K36</f>
        <v>-2781.9707364371607</v>
      </c>
    </row>
    <row r="27" spans="3:18" x14ac:dyDescent="0.2">
      <c r="C27" s="192" t="s">
        <v>57</v>
      </c>
      <c r="D27" s="193"/>
      <c r="E27" s="194">
        <f>SUM(E23:E26)</f>
        <v>-8899.3940000000002</v>
      </c>
      <c r="F27" s="194">
        <f t="shared" ref="F27:K27" si="4">SUM(F23:F26)</f>
        <v>-9641.3671165440919</v>
      </c>
      <c r="G27" s="194">
        <f t="shared" si="4"/>
        <v>-10529.222169686693</v>
      </c>
      <c r="H27" s="194">
        <f t="shared" si="4"/>
        <v>-11510.695077159533</v>
      </c>
      <c r="I27" s="194">
        <f t="shared" si="4"/>
        <v>-12533.141603688591</v>
      </c>
      <c r="J27" s="194">
        <f t="shared" si="4"/>
        <v>-13588.167774447145</v>
      </c>
      <c r="K27" s="195">
        <f t="shared" si="4"/>
        <v>-14337.849180099212</v>
      </c>
    </row>
    <row r="28" spans="3:18" x14ac:dyDescent="0.2">
      <c r="C28" s="27" t="s">
        <v>270</v>
      </c>
      <c r="D28" s="184"/>
      <c r="E28" s="164">
        <f>E20+E27</f>
        <v>3026.2070000000003</v>
      </c>
      <c r="F28" s="164">
        <f t="shared" ref="F28:K28" si="5">F20+F27</f>
        <v>3277.5222262725929</v>
      </c>
      <c r="G28" s="164">
        <f t="shared" si="5"/>
        <v>3613.4536794559426</v>
      </c>
      <c r="H28" s="164">
        <f t="shared" si="5"/>
        <v>3960.6692738613456</v>
      </c>
      <c r="I28" s="164">
        <f t="shared" si="5"/>
        <v>4392.1002648982994</v>
      </c>
      <c r="J28" s="164">
        <f t="shared" si="5"/>
        <v>4848.9662478692007</v>
      </c>
      <c r="K28" s="165">
        <f t="shared" si="5"/>
        <v>5116.4916341466669</v>
      </c>
    </row>
    <row r="29" spans="3:18" x14ac:dyDescent="0.2">
      <c r="C29" s="7" t="s">
        <v>58</v>
      </c>
      <c r="E29" s="174">
        <f>E28/E20</f>
        <v>0.25375719009884701</v>
      </c>
      <c r="F29" s="174">
        <f t="shared" ref="F29:K29" si="6">F28/F20</f>
        <v>0.25369999999999998</v>
      </c>
      <c r="G29" s="174">
        <f t="shared" si="6"/>
        <v>0.25549999999999995</v>
      </c>
      <c r="H29" s="174">
        <f t="shared" si="6"/>
        <v>0.25600000000000006</v>
      </c>
      <c r="I29" s="174">
        <f t="shared" si="6"/>
        <v>0.25950000000000006</v>
      </c>
      <c r="J29" s="174">
        <f t="shared" si="6"/>
        <v>0.26300000000000007</v>
      </c>
      <c r="K29" s="175">
        <f t="shared" si="6"/>
        <v>0.26300000000000001</v>
      </c>
    </row>
    <row r="30" spans="3:18" x14ac:dyDescent="0.2">
      <c r="C30" s="3"/>
      <c r="E30" s="168"/>
      <c r="F30" s="168"/>
      <c r="G30" s="168"/>
      <c r="H30" s="168"/>
      <c r="I30" s="168"/>
      <c r="J30" s="168"/>
      <c r="K30" s="169"/>
    </row>
    <row r="31" spans="3:18" x14ac:dyDescent="0.2">
      <c r="C31" s="196" t="s">
        <v>126</v>
      </c>
      <c r="E31" s="168">
        <f>-E20*Assumptions!E37</f>
        <v>-652.01700000000005</v>
      </c>
      <c r="F31" s="168">
        <f>-F20*Assumptions!F37</f>
        <v>-706.66324705207262</v>
      </c>
      <c r="G31" s="168">
        <f>-G20*Assumptions!G37</f>
        <v>-763.70449585370227</v>
      </c>
      <c r="H31" s="168">
        <f>-H20*Assumptions!H37</f>
        <v>-835.45367495512744</v>
      </c>
      <c r="I31" s="168">
        <f>-I20*Assumptions!I37</f>
        <v>-897.03781903510514</v>
      </c>
      <c r="J31" s="168">
        <f>-J20*Assumptions!J37</f>
        <v>-958.73096916044994</v>
      </c>
      <c r="K31" s="169">
        <f>-K20*Assumptions!K37</f>
        <v>-1011.6257223407857</v>
      </c>
    </row>
    <row r="32" spans="3:18" x14ac:dyDescent="0.2">
      <c r="C32" s="196" t="s">
        <v>127</v>
      </c>
      <c r="E32" s="168">
        <f>-E20*Assumptions!E38</f>
        <v>-49.506999999999998</v>
      </c>
      <c r="F32" s="168">
        <f>-F20*Assumptions!F38</f>
        <v>-54.259335239830072</v>
      </c>
      <c r="G32" s="168">
        <f>-G20*Assumptions!G38</f>
        <v>-57.984970981484807</v>
      </c>
      <c r="H32" s="168">
        <f>-H20*Assumptions!H38</f>
        <v>-61.885457404083517</v>
      </c>
      <c r="I32" s="168">
        <f>-I20*Assumptions!I38</f>
        <v>-67.700967474347564</v>
      </c>
      <c r="J32" s="168">
        <f>-J20*Assumptions!J38</f>
        <v>-73.748536089265386</v>
      </c>
      <c r="K32" s="169">
        <f>-K20*Assumptions!K38</f>
        <v>-77.817363256983512</v>
      </c>
    </row>
    <row r="33" spans="3:12" x14ac:dyDescent="0.2">
      <c r="C33" s="196" t="s">
        <v>128</v>
      </c>
      <c r="E33" s="168">
        <f>-E20*Assumptions!E39</f>
        <v>-27.503</v>
      </c>
      <c r="F33" s="168">
        <f>-F20*Assumptions!F39</f>
        <v>-29.713445488478374</v>
      </c>
      <c r="G33" s="168">
        <f>-G20*Assumptions!G39</f>
        <v>-31.113886868113799</v>
      </c>
      <c r="H33" s="168">
        <f>-H20*Assumptions!H39</f>
        <v>-32.489865137143845</v>
      </c>
      <c r="I33" s="168">
        <f>-I20*Assumptions!I39</f>
        <v>-33.850483737173782</v>
      </c>
      <c r="J33" s="168">
        <f>-J20*Assumptions!J39</f>
        <v>-36.874268044632693</v>
      </c>
      <c r="K33" s="169">
        <f>-K20*Assumptions!K39</f>
        <v>-38.908681628491756</v>
      </c>
      <c r="L33" s="150"/>
    </row>
    <row r="34" spans="3:12" ht="15" thickBot="1" x14ac:dyDescent="0.25">
      <c r="C34" s="188" t="s">
        <v>10</v>
      </c>
      <c r="D34" s="189"/>
      <c r="E34" s="190">
        <f>E28+SUM(E31:E33)</f>
        <v>2297.1800000000003</v>
      </c>
      <c r="F34" s="190">
        <f t="shared" ref="F34:K34" si="7">F28+SUM(F31:F33)</f>
        <v>2486.8861984922119</v>
      </c>
      <c r="G34" s="190">
        <f t="shared" si="7"/>
        <v>2760.6503257526419</v>
      </c>
      <c r="H34" s="190">
        <f t="shared" si="7"/>
        <v>3030.840276364991</v>
      </c>
      <c r="I34" s="190">
        <f t="shared" si="7"/>
        <v>3393.5109946516732</v>
      </c>
      <c r="J34" s="190">
        <f t="shared" si="7"/>
        <v>3779.6124745748525</v>
      </c>
      <c r="K34" s="191">
        <f t="shared" si="7"/>
        <v>3988.1398669204063</v>
      </c>
    </row>
    <row r="35" spans="3:12" ht="15" thickTop="1" x14ac:dyDescent="0.2">
      <c r="C35" s="185" t="s">
        <v>271</v>
      </c>
      <c r="E35" s="174">
        <f>E34/E20</f>
        <v>0.19262593138911827</v>
      </c>
      <c r="F35" s="174">
        <f t="shared" ref="F35:K35" si="8">F34/F20</f>
        <v>0.1925</v>
      </c>
      <c r="G35" s="174">
        <f t="shared" si="8"/>
        <v>0.19519999999999996</v>
      </c>
      <c r="H35" s="174">
        <f t="shared" si="8"/>
        <v>0.19590000000000007</v>
      </c>
      <c r="I35" s="174">
        <f t="shared" si="8"/>
        <v>0.20050000000000009</v>
      </c>
      <c r="J35" s="174">
        <f t="shared" si="8"/>
        <v>0.20500000000000007</v>
      </c>
      <c r="K35" s="175">
        <f t="shared" si="8"/>
        <v>0.20500000000000004</v>
      </c>
    </row>
    <row r="36" spans="3:12" x14ac:dyDescent="0.2">
      <c r="C36" s="3"/>
      <c r="E36" s="150"/>
      <c r="F36" s="150"/>
      <c r="G36" s="150"/>
      <c r="H36" s="150"/>
      <c r="I36" s="150"/>
      <c r="J36" s="150"/>
      <c r="K36" s="150"/>
    </row>
    <row r="37" spans="3:12" ht="14" customHeight="1" x14ac:dyDescent="0.2">
      <c r="C37" s="65" t="s">
        <v>13</v>
      </c>
      <c r="D37" s="65"/>
      <c r="E37" s="65"/>
      <c r="F37" s="65"/>
      <c r="G37" s="65"/>
      <c r="H37" s="65"/>
      <c r="I37" s="65"/>
      <c r="J37" s="65"/>
      <c r="K37" s="65"/>
    </row>
    <row r="38" spans="3:12" x14ac:dyDescent="0.2">
      <c r="K38" s="200"/>
    </row>
    <row r="39" spans="3:12" x14ac:dyDescent="0.2">
      <c r="C39" s="1" t="s">
        <v>10</v>
      </c>
      <c r="D39" s="197"/>
      <c r="E39" s="168">
        <f>E34</f>
        <v>2297.1800000000003</v>
      </c>
      <c r="F39" s="168">
        <f t="shared" ref="F39:K39" si="9">F34</f>
        <v>2486.8861984922119</v>
      </c>
      <c r="G39" s="168">
        <f t="shared" si="9"/>
        <v>2760.6503257526419</v>
      </c>
      <c r="H39" s="168">
        <f t="shared" si="9"/>
        <v>3030.840276364991</v>
      </c>
      <c r="I39" s="168">
        <f t="shared" si="9"/>
        <v>3393.5109946516732</v>
      </c>
      <c r="J39" s="168">
        <f t="shared" si="9"/>
        <v>3779.6124745748525</v>
      </c>
      <c r="K39" s="169">
        <f t="shared" si="9"/>
        <v>3988.1398669204063</v>
      </c>
    </row>
    <row r="40" spans="3:12" x14ac:dyDescent="0.2">
      <c r="C40" s="199" t="s">
        <v>11</v>
      </c>
      <c r="D40" s="197"/>
      <c r="E40" s="168">
        <f>-E20*Assumptions!E40</f>
        <v>-361.38200000000001</v>
      </c>
      <c r="F40" s="168">
        <f>-F20*Assumptions!F40</f>
        <v>-387.56668028450053</v>
      </c>
      <c r="G40" s="168">
        <f>-G20*Assumptions!G40</f>
        <v>-424.28027547427905</v>
      </c>
      <c r="H40" s="168">
        <f>-H20*Assumptions!H40</f>
        <v>-464.14093053062635</v>
      </c>
      <c r="I40" s="168">
        <f>-I20*Assumptions!I40</f>
        <v>-507.7572560576067</v>
      </c>
      <c r="J40" s="168">
        <f>-J20*Assumptions!J40</f>
        <v>-553.1140206694904</v>
      </c>
      <c r="K40" s="169">
        <f>-K20*Assumptions!K40</f>
        <v>-583.63022442737633</v>
      </c>
    </row>
    <row r="41" spans="3:12" x14ac:dyDescent="0.2">
      <c r="C41" s="178" t="s">
        <v>263</v>
      </c>
      <c r="D41" s="181"/>
      <c r="E41" s="170">
        <f>E39+E40</f>
        <v>1935.7980000000002</v>
      </c>
      <c r="F41" s="170">
        <f t="shared" ref="F41:K41" si="10">F39+F40</f>
        <v>2099.3195182077116</v>
      </c>
      <c r="G41" s="170">
        <f t="shared" si="10"/>
        <v>2336.3700502783631</v>
      </c>
      <c r="H41" s="170">
        <f t="shared" si="10"/>
        <v>2566.6993458343645</v>
      </c>
      <c r="I41" s="170">
        <f t="shared" si="10"/>
        <v>2885.7537385940664</v>
      </c>
      <c r="J41" s="170">
        <f t="shared" si="10"/>
        <v>3226.4984539053621</v>
      </c>
      <c r="K41" s="180">
        <f t="shared" si="10"/>
        <v>3404.5096424930298</v>
      </c>
    </row>
    <row r="42" spans="3:12" x14ac:dyDescent="0.2">
      <c r="C42" s="199" t="s">
        <v>273</v>
      </c>
      <c r="D42" s="197"/>
      <c r="E42" s="168">
        <f>-E41*$E$10</f>
        <v>-456.37776447199553</v>
      </c>
      <c r="F42" s="168">
        <f t="shared" ref="F42:K42" si="11">-F41*$E$10</f>
        <v>-494.92909313474962</v>
      </c>
      <c r="G42" s="168">
        <f t="shared" si="11"/>
        <v>-550.81539526611925</v>
      </c>
      <c r="H42" s="168">
        <f t="shared" si="11"/>
        <v>-605.1171194120567</v>
      </c>
      <c r="I42" s="168">
        <f t="shared" si="11"/>
        <v>-680.33639875455151</v>
      </c>
      <c r="J42" s="168">
        <f t="shared" si="11"/>
        <v>-760.66932162636749</v>
      </c>
      <c r="K42" s="169">
        <f t="shared" si="11"/>
        <v>-802.63669027673427</v>
      </c>
    </row>
    <row r="43" spans="3:12" x14ac:dyDescent="0.2">
      <c r="C43" s="178" t="s">
        <v>264</v>
      </c>
      <c r="D43" s="181"/>
      <c r="E43" s="170">
        <f>E41+E42</f>
        <v>1479.4202355280047</v>
      </c>
      <c r="F43" s="170">
        <f t="shared" ref="F43:K43" si="12">F41+F42</f>
        <v>1604.390425072962</v>
      </c>
      <c r="G43" s="170">
        <f t="shared" si="12"/>
        <v>1785.554655012244</v>
      </c>
      <c r="H43" s="170">
        <f t="shared" si="12"/>
        <v>1961.5822264223079</v>
      </c>
      <c r="I43" s="170">
        <f t="shared" si="12"/>
        <v>2205.4173398395151</v>
      </c>
      <c r="J43" s="170">
        <f t="shared" si="12"/>
        <v>2465.8291322789946</v>
      </c>
      <c r="K43" s="180">
        <f t="shared" si="12"/>
        <v>2601.8729522162957</v>
      </c>
    </row>
    <row r="44" spans="3:12" x14ac:dyDescent="0.2">
      <c r="C44" s="199" t="s">
        <v>274</v>
      </c>
      <c r="D44" s="197"/>
      <c r="E44" s="168">
        <f t="shared" ref="E44:K44" si="13">-E40</f>
        <v>361.38200000000001</v>
      </c>
      <c r="F44" s="168">
        <f t="shared" si="13"/>
        <v>387.56668028450053</v>
      </c>
      <c r="G44" s="168">
        <f t="shared" si="13"/>
        <v>424.28027547427905</v>
      </c>
      <c r="H44" s="168">
        <f t="shared" si="13"/>
        <v>464.14093053062635</v>
      </c>
      <c r="I44" s="168">
        <f t="shared" si="13"/>
        <v>507.7572560576067</v>
      </c>
      <c r="J44" s="168">
        <f t="shared" si="13"/>
        <v>553.1140206694904</v>
      </c>
      <c r="K44" s="169">
        <f t="shared" si="13"/>
        <v>583.63022442737633</v>
      </c>
    </row>
    <row r="45" spans="3:12" x14ac:dyDescent="0.2">
      <c r="C45" s="199" t="s">
        <v>12</v>
      </c>
      <c r="D45" s="197"/>
      <c r="E45" s="168">
        <f>-E20*Assumptions!E43</f>
        <v>-666.33600000000001</v>
      </c>
      <c r="F45" s="168">
        <f>-F20*Assumptions!F43</f>
        <v>-710.53891385491772</v>
      </c>
      <c r="G45" s="168">
        <f>-G20*Assumptions!G43</f>
        <v>-770.77583377827364</v>
      </c>
      <c r="H45" s="168">
        <f>-H20*Assumptions!H43</f>
        <v>-840.09508426043374</v>
      </c>
      <c r="I45" s="168">
        <f>-I20*Assumptions!I43</f>
        <v>-897.03781903510514</v>
      </c>
      <c r="J45" s="168">
        <f>-J20*Assumptions!J43</f>
        <v>-940.29383513813355</v>
      </c>
      <c r="K45" s="169">
        <f>-K20*Assumptions!K43</f>
        <v>-836.53665501257274</v>
      </c>
    </row>
    <row r="46" spans="3:12" x14ac:dyDescent="0.2">
      <c r="C46" s="199" t="s">
        <v>87</v>
      </c>
      <c r="D46" s="197"/>
      <c r="E46" s="168">
        <f>-Historicals!G49</f>
        <v>-34.485999999999997</v>
      </c>
      <c r="F46" s="168">
        <f>-(F20-E20)*Assumptions!F44</f>
        <v>0</v>
      </c>
      <c r="G46" s="168">
        <f>-(G20-F20)*Assumptions!G44</f>
        <v>0</v>
      </c>
      <c r="H46" s="168">
        <f>-(H20-G20)*Assumptions!H44</f>
        <v>0</v>
      </c>
      <c r="I46" s="168">
        <f>-(I20-H20)*Assumptions!I44</f>
        <v>0</v>
      </c>
      <c r="J46" s="168">
        <f>-(J20-I20)*Assumptions!J44</f>
        <v>0</v>
      </c>
      <c r="K46" s="169">
        <f>-(K20-J20)*Assumptions!K44</f>
        <v>0</v>
      </c>
    </row>
    <row r="47" spans="3:12" ht="15" thickBot="1" x14ac:dyDescent="0.25">
      <c r="C47" s="188" t="s">
        <v>14</v>
      </c>
      <c r="D47" s="198"/>
      <c r="E47" s="190">
        <f>SUM(E43:E46)</f>
        <v>1139.9802355280046</v>
      </c>
      <c r="F47" s="190">
        <f t="shared" ref="F47:K47" si="14">SUM(F43:F46)</f>
        <v>1281.4181915025447</v>
      </c>
      <c r="G47" s="190">
        <f t="shared" si="14"/>
        <v>1439.0590967082496</v>
      </c>
      <c r="H47" s="190">
        <f t="shared" si="14"/>
        <v>1585.6280726925006</v>
      </c>
      <c r="I47" s="190">
        <f t="shared" si="14"/>
        <v>1816.1367768620166</v>
      </c>
      <c r="J47" s="190">
        <f t="shared" si="14"/>
        <v>2078.6493178103515</v>
      </c>
      <c r="K47" s="191">
        <f t="shared" si="14"/>
        <v>2348.9665216310996</v>
      </c>
    </row>
    <row r="48" spans="3:12" ht="15" thickTop="1" x14ac:dyDescent="0.2"/>
    <row r="49" spans="3:11" ht="14" customHeight="1" x14ac:dyDescent="0.2">
      <c r="C49" s="65" t="s">
        <v>15</v>
      </c>
      <c r="D49" s="65"/>
      <c r="E49" s="65"/>
      <c r="F49" s="65"/>
      <c r="G49" s="65"/>
      <c r="H49" s="65"/>
      <c r="I49" s="65"/>
      <c r="J49" s="65"/>
      <c r="K49" s="65"/>
    </row>
    <row r="51" spans="3:11" x14ac:dyDescent="0.2">
      <c r="C51" s="208" t="s">
        <v>16</v>
      </c>
      <c r="E51" s="205"/>
      <c r="F51" s="211">
        <v>1</v>
      </c>
      <c r="G51" s="211">
        <v>2</v>
      </c>
      <c r="H51" s="211">
        <v>3</v>
      </c>
      <c r="I51" s="211">
        <v>4</v>
      </c>
      <c r="J51" s="211">
        <v>5</v>
      </c>
      <c r="K51" s="209"/>
    </row>
    <row r="52" spans="3:11" x14ac:dyDescent="0.2">
      <c r="C52" s="208" t="s">
        <v>17</v>
      </c>
      <c r="E52" s="206"/>
      <c r="F52" s="212">
        <f>1/(1+$E$8)^F51</f>
        <v>0.92874501101398699</v>
      </c>
      <c r="G52" s="212">
        <f t="shared" ref="G52:J52" si="15">1/(1+$E$8)^G51</f>
        <v>0.86256729548337097</v>
      </c>
      <c r="H52" s="212">
        <f t="shared" si="15"/>
        <v>0.8011050723440083</v>
      </c>
      <c r="I52" s="212">
        <f t="shared" si="15"/>
        <v>0.74402233923749694</v>
      </c>
      <c r="J52" s="212">
        <f t="shared" si="15"/>
        <v>0.6910070356497815</v>
      </c>
      <c r="K52" s="200"/>
    </row>
    <row r="53" spans="3:11" x14ac:dyDescent="0.2">
      <c r="C53" s="178" t="s">
        <v>18</v>
      </c>
      <c r="D53" s="181"/>
      <c r="E53" s="207"/>
      <c r="F53" s="170">
        <f>F52*F47</f>
        <v>1190.1107523805542</v>
      </c>
      <c r="G53" s="170">
        <f t="shared" ref="G53:J53" si="16">G52*G47</f>
        <v>1241.2853130883777</v>
      </c>
      <c r="H53" s="170">
        <f t="shared" si="16"/>
        <v>1270.2546918850162</v>
      </c>
      <c r="I53" s="170">
        <f t="shared" si="16"/>
        <v>1351.2463330961257</v>
      </c>
      <c r="J53" s="170">
        <f t="shared" si="16"/>
        <v>1436.3613032555716</v>
      </c>
      <c r="K53" s="210"/>
    </row>
    <row r="54" spans="3:11" x14ac:dyDescent="0.2">
      <c r="D54" s="197"/>
    </row>
    <row r="55" spans="3:11" ht="14" customHeight="1" x14ac:dyDescent="0.2">
      <c r="C55" s="201" t="s">
        <v>19</v>
      </c>
      <c r="D55" s="203"/>
      <c r="E55" s="203"/>
      <c r="F55" s="56"/>
    </row>
    <row r="56" spans="3:11" x14ac:dyDescent="0.2">
      <c r="C56" s="199" t="s">
        <v>20</v>
      </c>
      <c r="D56" s="197"/>
      <c r="E56" s="168">
        <f>K47</f>
        <v>2348.9665216310996</v>
      </c>
    </row>
    <row r="57" spans="3:11" x14ac:dyDescent="0.2">
      <c r="C57" s="199" t="s">
        <v>21</v>
      </c>
      <c r="D57" s="197"/>
      <c r="E57" s="168">
        <f>E56/($E$8-$E$9)</f>
        <v>45415.405527864445</v>
      </c>
    </row>
    <row r="58" spans="3:11" ht="17" thickBot="1" x14ac:dyDescent="0.25">
      <c r="C58" s="188" t="s">
        <v>22</v>
      </c>
      <c r="D58" s="198"/>
      <c r="E58" s="190">
        <f>E57*J52</f>
        <v>31382.36474664231</v>
      </c>
      <c r="F58" s="216"/>
      <c r="G58" s="217"/>
      <c r="H58" s="217"/>
      <c r="I58" s="217"/>
      <c r="J58" s="217"/>
      <c r="K58" s="217"/>
    </row>
    <row r="59" spans="3:11" ht="17" thickTop="1" x14ac:dyDescent="0.2">
      <c r="D59" s="197"/>
      <c r="E59" s="152"/>
      <c r="F59" s="56"/>
    </row>
    <row r="60" spans="3:11" ht="14" customHeight="1" x14ac:dyDescent="0.2">
      <c r="C60" s="201" t="s">
        <v>23</v>
      </c>
      <c r="D60" s="203"/>
      <c r="E60" s="204"/>
      <c r="F60" s="56"/>
    </row>
    <row r="61" spans="3:11" ht="16" x14ac:dyDescent="0.2">
      <c r="C61" s="199" t="s">
        <v>24</v>
      </c>
      <c r="D61" s="197"/>
      <c r="E61" s="168">
        <f>SUM(F53:J53)</f>
        <v>6489.2583937056452</v>
      </c>
      <c r="F61" s="56"/>
    </row>
    <row r="62" spans="3:11" ht="16" x14ac:dyDescent="0.2">
      <c r="C62" s="199" t="s">
        <v>22</v>
      </c>
      <c r="D62" s="197"/>
      <c r="E62" s="168">
        <f>E58</f>
        <v>31382.36474664231</v>
      </c>
      <c r="F62" s="56"/>
    </row>
    <row r="63" spans="3:11" ht="17" thickBot="1" x14ac:dyDescent="0.25">
      <c r="C63" s="188" t="s">
        <v>25</v>
      </c>
      <c r="D63" s="198"/>
      <c r="E63" s="213">
        <f>E61+E62</f>
        <v>37871.623140347954</v>
      </c>
      <c r="F63" s="216"/>
      <c r="G63" s="217"/>
      <c r="H63" s="217"/>
      <c r="I63" s="217"/>
      <c r="J63" s="217"/>
      <c r="K63" s="217"/>
    </row>
    <row r="64" spans="3:11" ht="17" thickTop="1" x14ac:dyDescent="0.2">
      <c r="D64" s="197"/>
      <c r="E64" s="152"/>
      <c r="F64" s="56"/>
    </row>
    <row r="65" spans="2:11" ht="14" customHeight="1" x14ac:dyDescent="0.2">
      <c r="C65" s="201" t="s">
        <v>26</v>
      </c>
      <c r="D65" s="203"/>
      <c r="E65" s="204"/>
      <c r="F65" s="56"/>
    </row>
    <row r="66" spans="2:11" ht="16" x14ac:dyDescent="0.2">
      <c r="C66" s="1" t="s">
        <v>25</v>
      </c>
      <c r="D66" s="197"/>
      <c r="E66" s="168">
        <f>E63</f>
        <v>37871.623140347954</v>
      </c>
      <c r="F66" s="56"/>
      <c r="G66" s="202"/>
    </row>
    <row r="67" spans="2:11" x14ac:dyDescent="0.2">
      <c r="C67" s="199" t="s">
        <v>27</v>
      </c>
      <c r="D67" s="197"/>
      <c r="E67" s="226">
        <f>-Assumptions!E47</f>
        <v>0</v>
      </c>
    </row>
    <row r="68" spans="2:11" x14ac:dyDescent="0.2">
      <c r="C68" s="199" t="s">
        <v>28</v>
      </c>
      <c r="D68" s="197"/>
      <c r="E68" s="226">
        <f>Assumptions!E48</f>
        <v>350.54500000000002</v>
      </c>
    </row>
    <row r="69" spans="2:11" x14ac:dyDescent="0.2">
      <c r="C69" s="199" t="s">
        <v>261</v>
      </c>
      <c r="D69" s="197"/>
      <c r="E69" s="226">
        <f>Assumptions!E49</f>
        <v>698.59100000000001</v>
      </c>
    </row>
    <row r="70" spans="2:11" x14ac:dyDescent="0.2">
      <c r="C70" s="199" t="s">
        <v>262</v>
      </c>
      <c r="D70" s="197"/>
      <c r="E70" s="226">
        <f>Assumptions!E50</f>
        <v>197.12299999999999</v>
      </c>
    </row>
    <row r="71" spans="2:11" x14ac:dyDescent="0.2">
      <c r="C71" s="178" t="s">
        <v>29</v>
      </c>
      <c r="D71" s="181"/>
      <c r="E71" s="214">
        <f>SUM(E66:E70)</f>
        <v>39117.882140347952</v>
      </c>
      <c r="F71" s="217"/>
      <c r="G71" s="217"/>
      <c r="H71" s="217"/>
      <c r="I71" s="217"/>
      <c r="J71" s="217"/>
      <c r="K71" s="217"/>
    </row>
    <row r="72" spans="2:11" x14ac:dyDescent="0.2">
      <c r="D72" s="197"/>
      <c r="E72" s="152"/>
    </row>
    <row r="73" spans="2:11" x14ac:dyDescent="0.2">
      <c r="C73" s="199" t="s">
        <v>30</v>
      </c>
      <c r="D73" s="197"/>
      <c r="E73" s="227">
        <f>Assumptions!E52</f>
        <v>1302.4000000000001</v>
      </c>
    </row>
    <row r="74" spans="2:11" ht="15" thickBot="1" x14ac:dyDescent="0.25">
      <c r="C74" s="188" t="s">
        <v>31</v>
      </c>
      <c r="D74" s="198"/>
      <c r="E74" s="215">
        <f>E71/E73</f>
        <v>30.035228916114825</v>
      </c>
      <c r="F74" s="217"/>
      <c r="G74" s="217"/>
      <c r="H74" s="217"/>
      <c r="I74" s="217"/>
      <c r="J74" s="217"/>
      <c r="K74" s="217"/>
    </row>
    <row r="75" spans="2:11" ht="15" thickTop="1" x14ac:dyDescent="0.2">
      <c r="E75" s="186"/>
      <c r="F75" s="186"/>
      <c r="G75" s="186"/>
      <c r="H75" s="186"/>
    </row>
    <row r="76" spans="2:11" ht="15" x14ac:dyDescent="0.2">
      <c r="C76" s="230" t="s">
        <v>39</v>
      </c>
      <c r="D76" s="231"/>
      <c r="E76" s="231"/>
      <c r="F76" s="231"/>
      <c r="G76" s="231"/>
      <c r="H76" s="232"/>
      <c r="I76" s="232"/>
      <c r="J76" s="232"/>
    </row>
    <row r="77" spans="2:11" x14ac:dyDescent="0.2">
      <c r="F77" s="292" t="s">
        <v>112</v>
      </c>
      <c r="G77" s="292"/>
      <c r="H77" s="292"/>
      <c r="I77" s="292"/>
      <c r="J77" s="292"/>
    </row>
    <row r="78" spans="2:11" ht="14" customHeight="1" x14ac:dyDescent="0.2">
      <c r="B78" s="233"/>
      <c r="C78" s="294" t="s">
        <v>277</v>
      </c>
      <c r="E78" s="229">
        <f>E74</f>
        <v>30.035228916114825</v>
      </c>
      <c r="F78" s="236">
        <v>6.6699999999999995E-2</v>
      </c>
      <c r="G78" s="237">
        <v>7.17E-2</v>
      </c>
      <c r="H78" s="237">
        <v>7.6719999999999997E-2</v>
      </c>
      <c r="I78" s="237">
        <v>8.1699999999999995E-2</v>
      </c>
      <c r="J78" s="238">
        <v>8.6699999999999999E-2</v>
      </c>
    </row>
    <row r="79" spans="2:11" x14ac:dyDescent="0.2">
      <c r="B79" s="234"/>
      <c r="C79" s="294"/>
      <c r="D79" s="293" t="s">
        <v>276</v>
      </c>
      <c r="E79" s="239">
        <v>1.4999999999999999E-2</v>
      </c>
      <c r="F79" s="222">
        <f t="dataTable" ref="F79:J83" dt2D="1" dtr="1" r1="E8" r2="E9"/>
        <v>31.345922541237101</v>
      </c>
      <c r="G79" s="243">
        <v>28.512144786881588</v>
      </c>
      <c r="H79" s="243">
        <v>26.132076283330765</v>
      </c>
      <c r="I79" s="243">
        <v>24.127767592505027</v>
      </c>
      <c r="J79" s="221">
        <v>22.398055195851782</v>
      </c>
    </row>
    <row r="80" spans="2:11" x14ac:dyDescent="0.2">
      <c r="B80" s="234"/>
      <c r="C80" s="294"/>
      <c r="D80" s="293"/>
      <c r="E80" s="240">
        <v>0.02</v>
      </c>
      <c r="F80" s="218">
        <v>34.050401112976346</v>
      </c>
      <c r="G80" s="245">
        <v>30.688163813082472</v>
      </c>
      <c r="H80" s="246">
        <v>27.912102520380042</v>
      </c>
      <c r="I80" s="247">
        <v>25.607411796905591</v>
      </c>
      <c r="J80" s="219">
        <v>23.642309406188268</v>
      </c>
    </row>
    <row r="81" spans="2:10" x14ac:dyDescent="0.2">
      <c r="B81" s="234"/>
      <c r="C81" s="294"/>
      <c r="D81" s="293"/>
      <c r="E81" s="240">
        <v>2.5000000000000001E-2</v>
      </c>
      <c r="F81" s="218">
        <v>37.403435697123065</v>
      </c>
      <c r="G81" s="248">
        <v>33.330139804208606</v>
      </c>
      <c r="H81" s="242">
        <v>30.036294696533957</v>
      </c>
      <c r="I81" s="249">
        <v>27.348016178449107</v>
      </c>
      <c r="J81" s="219">
        <v>25.088225563094689</v>
      </c>
    </row>
    <row r="82" spans="2:10" x14ac:dyDescent="0.2">
      <c r="B82" s="234"/>
      <c r="C82" s="235"/>
      <c r="D82" s="293"/>
      <c r="E82" s="240">
        <v>0.03</v>
      </c>
      <c r="F82" s="218">
        <v>41.670103682944649</v>
      </c>
      <c r="G82" s="250">
        <v>36.605683179297834</v>
      </c>
      <c r="H82" s="251">
        <v>32.615151293953701</v>
      </c>
      <c r="I82" s="252">
        <v>29.42529452160646</v>
      </c>
      <c r="J82" s="219">
        <v>26.78915338788584</v>
      </c>
    </row>
    <row r="83" spans="2:10" ht="17" customHeight="1" x14ac:dyDescent="0.2">
      <c r="C83" s="235"/>
      <c r="D83" s="293"/>
      <c r="E83" s="241">
        <v>3.5000000000000003E-2</v>
      </c>
      <c r="F83" s="223">
        <v>47.282723714766739</v>
      </c>
      <c r="G83" s="244">
        <v>40.773745185201577</v>
      </c>
      <c r="H83" s="244">
        <v>35.812142262758812</v>
      </c>
      <c r="I83" s="244">
        <v>31.947386214476307</v>
      </c>
      <c r="J83" s="220">
        <v>28.819080791940273</v>
      </c>
    </row>
    <row r="84" spans="2:10" x14ac:dyDescent="0.2">
      <c r="C84" s="228"/>
      <c r="D84" s="228"/>
      <c r="E84" s="228"/>
      <c r="F84" s="228"/>
      <c r="G84" s="228"/>
      <c r="H84" s="228"/>
    </row>
  </sheetData>
  <mergeCells count="3">
    <mergeCell ref="F77:J77"/>
    <mergeCell ref="D79:D83"/>
    <mergeCell ref="C78:C81"/>
  </mergeCells>
  <phoneticPr fontId="7" type="noConversion"/>
  <pageMargins left="0.7" right="0.7" top="0.75" bottom="0.75" header="0.3" footer="0.3"/>
  <ignoredErrors>
    <ignoredError sqref="E19:K19 A42:XFD42"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1DE69-83E8-E843-A3F0-AB651A842E3C}">
  <sheetPr>
    <tabColor theme="2" tint="-0.499984740745262"/>
  </sheetPr>
  <dimension ref="A2:J53"/>
  <sheetViews>
    <sheetView showGridLines="0" zoomScale="56" workbookViewId="0"/>
  </sheetViews>
  <sheetFormatPr baseColWidth="10" defaultRowHeight="14" x14ac:dyDescent="0.2"/>
  <cols>
    <col min="1" max="2" width="3" style="22" customWidth="1"/>
    <col min="3" max="3" width="38" style="22" customWidth="1"/>
    <col min="4" max="4" width="26.33203125" style="22" customWidth="1"/>
    <col min="5" max="5" width="49.6640625" style="22" customWidth="1"/>
    <col min="6" max="6" width="26.1640625" style="22" customWidth="1"/>
    <col min="7" max="7" width="28" style="22" customWidth="1"/>
    <col min="8" max="8" width="30.5" style="22" bestFit="1" customWidth="1"/>
    <col min="9" max="9" width="13.33203125" style="22" customWidth="1"/>
    <col min="10" max="10" width="41.5" style="22" customWidth="1"/>
    <col min="11" max="18" width="13.33203125" style="22" customWidth="1"/>
    <col min="19" max="16384" width="10.83203125" style="22"/>
  </cols>
  <sheetData>
    <row r="2" spans="1:10" ht="19" x14ac:dyDescent="0.25">
      <c r="A2"/>
      <c r="B2"/>
      <c r="C2" s="66" t="s">
        <v>250</v>
      </c>
      <c r="D2" s="56"/>
      <c r="E2" s="56"/>
      <c r="F2" s="56"/>
      <c r="G2" s="56"/>
      <c r="H2" s="56"/>
      <c r="I2" s="56"/>
      <c r="J2" s="56"/>
    </row>
    <row r="3" spans="1:10" ht="16" x14ac:dyDescent="0.2">
      <c r="A3"/>
      <c r="B3"/>
      <c r="C3" s="58" t="s">
        <v>251</v>
      </c>
      <c r="D3" s="56"/>
      <c r="E3" s="56"/>
      <c r="F3" s="56"/>
      <c r="G3" s="56"/>
      <c r="H3" s="56"/>
      <c r="I3" s="56"/>
      <c r="J3" s="56"/>
    </row>
    <row r="4" spans="1:10" ht="16" x14ac:dyDescent="0.2">
      <c r="A4"/>
      <c r="B4"/>
      <c r="C4" s="56"/>
      <c r="D4" s="56"/>
      <c r="E4" s="56"/>
      <c r="F4" s="56"/>
      <c r="G4" s="56"/>
      <c r="H4" s="56"/>
      <c r="I4" s="56"/>
      <c r="J4" s="56"/>
    </row>
    <row r="5" spans="1:10" ht="16" x14ac:dyDescent="0.2">
      <c r="C5" s="67" t="s">
        <v>97</v>
      </c>
      <c r="D5" s="67"/>
      <c r="E5" s="67"/>
      <c r="F5" s="67"/>
      <c r="G5" s="67"/>
      <c r="H5" s="67"/>
      <c r="I5" s="67"/>
      <c r="J5" s="67"/>
    </row>
    <row r="6" spans="1:10" ht="15" x14ac:dyDescent="0.2">
      <c r="C6" s="68" t="s">
        <v>40</v>
      </c>
      <c r="D6" s="69" t="s">
        <v>91</v>
      </c>
      <c r="E6" s="69" t="s">
        <v>41</v>
      </c>
      <c r="F6" s="69" t="s">
        <v>42</v>
      </c>
      <c r="G6" s="69" t="s">
        <v>43</v>
      </c>
      <c r="H6" s="69" t="s">
        <v>44</v>
      </c>
      <c r="I6" s="69" t="s">
        <v>45</v>
      </c>
      <c r="J6" s="70" t="s">
        <v>46</v>
      </c>
    </row>
    <row r="7" spans="1:10" ht="45" x14ac:dyDescent="0.2">
      <c r="C7" s="71" t="s">
        <v>89</v>
      </c>
      <c r="D7" s="72" t="str">
        <f>HYPERLINK("#'Historicals'!E9:G45","Historicals!E9:G45")</f>
        <v>Historicals!E9:G45</v>
      </c>
      <c r="E7" s="73" t="s">
        <v>49</v>
      </c>
      <c r="F7" s="74">
        <v>46057</v>
      </c>
      <c r="G7" s="75" t="s">
        <v>90</v>
      </c>
      <c r="H7" s="76" t="str">
        <f t="shared" ref="H7:H16" si="0">HYPERLINK("https://www.sec.gov/Archives/edgar/data/1058090/000105809026000009/cmg-20251231.htm","10-K FY2025 — EDGAR")</f>
        <v>10-K FY2025 — EDGAR</v>
      </c>
      <c r="I7" s="74">
        <v>46250</v>
      </c>
      <c r="J7" s="77" t="s">
        <v>103</v>
      </c>
    </row>
    <row r="8" spans="1:10" ht="30" x14ac:dyDescent="0.2">
      <c r="C8" s="71" t="s">
        <v>92</v>
      </c>
      <c r="D8" s="72" t="str">
        <f>HYPERLINK("#'Historicals'!E47:G47", "Historicals!E47:G47")</f>
        <v>Historicals!E47:G47</v>
      </c>
      <c r="E8" s="73" t="s">
        <v>49</v>
      </c>
      <c r="F8" s="74">
        <v>46057</v>
      </c>
      <c r="G8" s="75" t="s">
        <v>93</v>
      </c>
      <c r="H8" s="76" t="str">
        <f t="shared" si="0"/>
        <v>10-K FY2025 — EDGAR</v>
      </c>
      <c r="I8" s="74">
        <v>46250</v>
      </c>
      <c r="J8" s="77" t="s">
        <v>104</v>
      </c>
    </row>
    <row r="9" spans="1:10" ht="135" x14ac:dyDescent="0.2">
      <c r="C9" s="71" t="s">
        <v>71</v>
      </c>
      <c r="D9" s="72" t="str">
        <f>HYPERLINK("#'Historicals'!E53:G61", "Historicals!E53:G61")</f>
        <v>Historicals!E53:G61</v>
      </c>
      <c r="E9" s="73" t="s">
        <v>49</v>
      </c>
      <c r="F9" s="74">
        <v>46057</v>
      </c>
      <c r="G9" s="75" t="s">
        <v>94</v>
      </c>
      <c r="H9" s="76" t="str">
        <f t="shared" si="0"/>
        <v>10-K FY2025 — EDGAR</v>
      </c>
      <c r="I9" s="74">
        <v>46250</v>
      </c>
      <c r="J9" s="77" t="s">
        <v>95</v>
      </c>
    </row>
    <row r="10" spans="1:10" ht="60" x14ac:dyDescent="0.2">
      <c r="C10" s="71" t="s">
        <v>151</v>
      </c>
      <c r="D10" s="76" t="str">
        <f>HYPERLINK("#'Assumptions'!E21:E23","Assumptions!E21:E23")</f>
        <v>Assumptions!E21:E23</v>
      </c>
      <c r="E10" s="73" t="s">
        <v>49</v>
      </c>
      <c r="F10" s="74">
        <v>46057</v>
      </c>
      <c r="G10" s="75" t="s">
        <v>152</v>
      </c>
      <c r="H10" s="76" t="str">
        <f t="shared" si="0"/>
        <v>10-K FY2025 — EDGAR</v>
      </c>
      <c r="I10" s="74">
        <v>46251</v>
      </c>
      <c r="J10" s="77" t="s">
        <v>153</v>
      </c>
    </row>
    <row r="11" spans="1:10" ht="105" x14ac:dyDescent="0.2">
      <c r="C11" s="71" t="s">
        <v>154</v>
      </c>
      <c r="D11" s="76" t="str">
        <f>HYPERLINK("#'Assumptions'!E28:E29","Assumptions!E28:E29")</f>
        <v>Assumptions!E28:E29</v>
      </c>
      <c r="E11" s="73" t="s">
        <v>49</v>
      </c>
      <c r="F11" s="74">
        <v>46057</v>
      </c>
      <c r="G11" s="75" t="s">
        <v>155</v>
      </c>
      <c r="H11" s="76" t="str">
        <f t="shared" si="0"/>
        <v>10-K FY2025 — EDGAR</v>
      </c>
      <c r="I11" s="74">
        <v>46251</v>
      </c>
      <c r="J11" s="77" t="s">
        <v>175</v>
      </c>
    </row>
    <row r="12" spans="1:10" ht="17" x14ac:dyDescent="0.2">
      <c r="C12" s="71" t="s">
        <v>203</v>
      </c>
      <c r="D12" s="76" t="str">
        <f>HYPERLINK("#'Assumptions'!F28","Assumptions!F28")</f>
        <v>Assumptions!F28</v>
      </c>
      <c r="E12" s="73" t="s">
        <v>49</v>
      </c>
      <c r="F12" s="74">
        <v>46057</v>
      </c>
      <c r="G12" s="75" t="s">
        <v>156</v>
      </c>
      <c r="H12" s="76" t="str">
        <f t="shared" si="0"/>
        <v>10-K FY2025 — EDGAR</v>
      </c>
      <c r="I12" s="74">
        <v>46251</v>
      </c>
      <c r="J12" s="77" t="s">
        <v>205</v>
      </c>
    </row>
    <row r="13" spans="1:10" ht="30" x14ac:dyDescent="0.2">
      <c r="C13" s="71" t="s">
        <v>202</v>
      </c>
      <c r="D13" s="76" t="str">
        <f>HYPERLINK("#'Assumptions'!F22","Assumptions!F22")</f>
        <v>Assumptions!F22</v>
      </c>
      <c r="E13" s="73" t="s">
        <v>49</v>
      </c>
      <c r="F13" s="74">
        <v>46057</v>
      </c>
      <c r="G13" s="75" t="s">
        <v>156</v>
      </c>
      <c r="H13" s="76" t="str">
        <f t="shared" si="0"/>
        <v>10-K FY2025 — EDGAR</v>
      </c>
      <c r="I13" s="74">
        <v>46251</v>
      </c>
      <c r="J13" s="77" t="s">
        <v>204</v>
      </c>
    </row>
    <row r="14" spans="1:10" ht="17" x14ac:dyDescent="0.2">
      <c r="C14" s="71" t="s">
        <v>157</v>
      </c>
      <c r="D14" s="76" t="str">
        <f>HYPERLINK("#'Assumptions'!E47:E49","Assumptions!E47:E49")</f>
        <v>Assumptions!E47:E49</v>
      </c>
      <c r="E14" s="73" t="s">
        <v>49</v>
      </c>
      <c r="F14" s="74">
        <v>46057</v>
      </c>
      <c r="G14" s="75" t="s">
        <v>158</v>
      </c>
      <c r="H14" s="76" t="str">
        <f t="shared" si="0"/>
        <v>10-K FY2025 — EDGAR</v>
      </c>
      <c r="I14" s="74">
        <v>46251</v>
      </c>
      <c r="J14" s="77" t="s">
        <v>159</v>
      </c>
    </row>
    <row r="15" spans="1:10" ht="45" x14ac:dyDescent="0.2">
      <c r="C15" s="71" t="s">
        <v>138</v>
      </c>
      <c r="D15" s="76" t="str">
        <f>HYPERLINK("#'Assumptions'!E46","Assumptions!E46")</f>
        <v>Assumptions!E46</v>
      </c>
      <c r="E15" s="73" t="s">
        <v>49</v>
      </c>
      <c r="F15" s="74">
        <v>46057</v>
      </c>
      <c r="G15" s="75" t="s">
        <v>160</v>
      </c>
      <c r="H15" s="76" t="str">
        <f t="shared" si="0"/>
        <v>10-K FY2025 — EDGAR</v>
      </c>
      <c r="I15" s="74">
        <v>46251</v>
      </c>
      <c r="J15" s="77" t="s">
        <v>161</v>
      </c>
    </row>
    <row r="16" spans="1:10" ht="60" x14ac:dyDescent="0.2">
      <c r="C16" s="78" t="s">
        <v>162</v>
      </c>
      <c r="D16" s="79" t="str">
        <f>HYPERLINK("#'Assumptions'!E51","Assumptions!E51")</f>
        <v>Assumptions!E51</v>
      </c>
      <c r="E16" s="80" t="s">
        <v>49</v>
      </c>
      <c r="F16" s="81">
        <v>46057</v>
      </c>
      <c r="G16" s="82" t="s">
        <v>164</v>
      </c>
      <c r="H16" s="79" t="str">
        <f t="shared" si="0"/>
        <v>10-K FY2025 — EDGAR</v>
      </c>
      <c r="I16" s="81">
        <v>46251</v>
      </c>
      <c r="J16" s="83" t="s">
        <v>163</v>
      </c>
    </row>
    <row r="17" spans="3:10" ht="16" x14ac:dyDescent="0.2">
      <c r="D17" s="48"/>
      <c r="E17" s="21"/>
      <c r="F17" s="23"/>
      <c r="H17" s="50"/>
      <c r="I17" s="23"/>
    </row>
    <row r="18" spans="3:10" ht="16" x14ac:dyDescent="0.2">
      <c r="D18" s="48"/>
      <c r="E18" s="21"/>
      <c r="F18" s="23"/>
      <c r="H18" s="50"/>
      <c r="I18" s="23"/>
    </row>
    <row r="19" spans="3:10" ht="16" x14ac:dyDescent="0.2">
      <c r="D19" s="48"/>
      <c r="E19" s="21"/>
      <c r="F19" s="23"/>
      <c r="H19" s="50"/>
      <c r="I19" s="23"/>
    </row>
    <row r="22" spans="3:10" ht="16" x14ac:dyDescent="0.2">
      <c r="C22" s="67" t="s">
        <v>145</v>
      </c>
      <c r="D22" s="67"/>
      <c r="E22" s="67"/>
      <c r="F22" s="67"/>
      <c r="G22" s="67"/>
      <c r="H22" s="67"/>
      <c r="I22" s="67"/>
      <c r="J22" s="67"/>
    </row>
    <row r="23" spans="3:10" ht="15" x14ac:dyDescent="0.2">
      <c r="C23" s="68" t="s">
        <v>146</v>
      </c>
      <c r="D23" s="69" t="s">
        <v>147</v>
      </c>
      <c r="E23" s="69" t="s">
        <v>148</v>
      </c>
      <c r="F23" s="69" t="s">
        <v>149</v>
      </c>
      <c r="G23" s="69" t="s">
        <v>150</v>
      </c>
      <c r="H23" s="69" t="s">
        <v>44</v>
      </c>
      <c r="I23" s="69" t="s">
        <v>45</v>
      </c>
      <c r="J23" s="70" t="s">
        <v>206</v>
      </c>
    </row>
    <row r="24" spans="3:10" ht="45" x14ac:dyDescent="0.2">
      <c r="C24" s="71" t="s">
        <v>165</v>
      </c>
      <c r="D24" s="84">
        <v>4.1799999999999997E-2</v>
      </c>
      <c r="E24" s="76" t="str">
        <f>HYPERLINK("#'Assumptions'!E8","Assumptions!E8")</f>
        <v>Assumptions!E8</v>
      </c>
      <c r="F24" s="75" t="s">
        <v>166</v>
      </c>
      <c r="G24" s="75" t="s">
        <v>167</v>
      </c>
      <c r="H24" s="76" t="s">
        <v>207</v>
      </c>
      <c r="I24" s="74">
        <v>46251</v>
      </c>
      <c r="J24" s="77" t="s">
        <v>208</v>
      </c>
    </row>
    <row r="25" spans="3:10" ht="105" x14ac:dyDescent="0.2">
      <c r="C25" s="71" t="s">
        <v>168</v>
      </c>
      <c r="D25" s="85">
        <v>0.78300000000000003</v>
      </c>
      <c r="E25" s="76" t="str">
        <f>HYPERLINK("#'Assumptions'!E9","Assumptions!E9")</f>
        <v>Assumptions!E9</v>
      </c>
      <c r="F25" s="75" t="s">
        <v>321</v>
      </c>
      <c r="G25" s="75" t="s">
        <v>232</v>
      </c>
      <c r="H25" s="76" t="s">
        <v>209</v>
      </c>
      <c r="I25" s="74">
        <v>46251</v>
      </c>
      <c r="J25" s="77" t="s">
        <v>233</v>
      </c>
    </row>
    <row r="26" spans="3:10" ht="34" x14ac:dyDescent="0.2">
      <c r="C26" s="274" t="s">
        <v>318</v>
      </c>
      <c r="D26" s="276">
        <v>37</v>
      </c>
      <c r="E26" s="277" t="str">
        <f>HYPERLINK("#'Cover'!E16","Cover!E16")</f>
        <v>Cover!E16</v>
      </c>
      <c r="F26" s="272" t="s">
        <v>319</v>
      </c>
      <c r="G26" s="272" t="s">
        <v>322</v>
      </c>
      <c r="H26" s="278" t="s">
        <v>323</v>
      </c>
      <c r="I26" s="273">
        <v>46251</v>
      </c>
      <c r="J26" s="275" t="s">
        <v>324</v>
      </c>
    </row>
    <row r="27" spans="3:10" ht="105" x14ac:dyDescent="0.2">
      <c r="C27" s="78" t="s">
        <v>108</v>
      </c>
      <c r="D27" s="86">
        <v>4.4600000000000001E-2</v>
      </c>
      <c r="E27" s="79" t="str">
        <f>HYPERLINK("#'Assumptions'!E10","Assumptions!E10")</f>
        <v>Assumptions!E10</v>
      </c>
      <c r="F27" s="87" t="s">
        <v>320</v>
      </c>
      <c r="G27" s="82" t="s">
        <v>231</v>
      </c>
      <c r="H27" s="79" t="s">
        <v>210</v>
      </c>
      <c r="I27" s="81">
        <v>46251</v>
      </c>
      <c r="J27" s="83" t="s">
        <v>230</v>
      </c>
    </row>
    <row r="29" spans="3:10" ht="16" x14ac:dyDescent="0.2">
      <c r="I29"/>
      <c r="J29"/>
    </row>
    <row r="30" spans="3:10" ht="16" x14ac:dyDescent="0.2">
      <c r="I30"/>
      <c r="J30"/>
    </row>
    <row r="31" spans="3:10" ht="16" x14ac:dyDescent="0.2">
      <c r="I31"/>
      <c r="J31"/>
    </row>
    <row r="32" spans="3:10" ht="16" x14ac:dyDescent="0.2">
      <c r="C32" s="67" t="s">
        <v>96</v>
      </c>
      <c r="D32" s="67"/>
      <c r="E32" s="67"/>
      <c r="F32" s="67"/>
      <c r="G32" s="67"/>
      <c r="H32" s="67"/>
      <c r="I32"/>
      <c r="J32"/>
    </row>
    <row r="33" spans="3:10" ht="16" x14ac:dyDescent="0.2">
      <c r="C33" s="68" t="s">
        <v>101</v>
      </c>
      <c r="D33" s="69" t="s">
        <v>100</v>
      </c>
      <c r="E33" s="69" t="s">
        <v>47</v>
      </c>
      <c r="F33" s="69" t="s">
        <v>98</v>
      </c>
      <c r="G33" s="69" t="s">
        <v>48</v>
      </c>
      <c r="H33" s="269" t="s">
        <v>91</v>
      </c>
      <c r="I33"/>
      <c r="J33"/>
    </row>
    <row r="34" spans="3:10" ht="202" customHeight="1" x14ac:dyDescent="0.2">
      <c r="C34" s="88" t="s">
        <v>102</v>
      </c>
      <c r="D34" s="75" t="s">
        <v>169</v>
      </c>
      <c r="E34" s="75" t="s">
        <v>255</v>
      </c>
      <c r="F34" s="75" t="s">
        <v>99</v>
      </c>
      <c r="G34" s="74">
        <v>46250</v>
      </c>
      <c r="H34" s="270" t="s">
        <v>212</v>
      </c>
      <c r="I34"/>
      <c r="J34"/>
    </row>
    <row r="35" spans="3:10" ht="135" x14ac:dyDescent="0.2">
      <c r="C35" s="88" t="s">
        <v>170</v>
      </c>
      <c r="D35" s="89">
        <v>7.6700000000000004E-2</v>
      </c>
      <c r="E35" s="75" t="s">
        <v>260</v>
      </c>
      <c r="F35" s="75" t="s">
        <v>99</v>
      </c>
      <c r="G35" s="74">
        <v>46251</v>
      </c>
      <c r="H35" s="270" t="s">
        <v>213</v>
      </c>
      <c r="I35"/>
      <c r="J35"/>
    </row>
    <row r="36" spans="3:10" ht="112" customHeight="1" x14ac:dyDescent="0.2">
      <c r="C36" s="88" t="s">
        <v>173</v>
      </c>
      <c r="D36" s="89">
        <v>4.1799999999999997E-2</v>
      </c>
      <c r="E36" s="75" t="s">
        <v>174</v>
      </c>
      <c r="F36" s="75" t="s">
        <v>99</v>
      </c>
      <c r="G36" s="74">
        <v>46251</v>
      </c>
      <c r="H36" s="270" t="s">
        <v>214</v>
      </c>
      <c r="I36"/>
      <c r="J36"/>
    </row>
    <row r="37" spans="3:10" ht="141" customHeight="1" x14ac:dyDescent="0.2">
      <c r="C37" s="88" t="s">
        <v>234</v>
      </c>
      <c r="D37" s="85">
        <v>0.78300000000000003</v>
      </c>
      <c r="E37" s="75" t="s">
        <v>235</v>
      </c>
      <c r="F37" s="75" t="s">
        <v>171</v>
      </c>
      <c r="G37" s="74">
        <v>46251</v>
      </c>
      <c r="H37" s="270" t="s">
        <v>215</v>
      </c>
      <c r="I37"/>
      <c r="J37"/>
    </row>
    <row r="38" spans="3:10" ht="274" customHeight="1" x14ac:dyDescent="0.2">
      <c r="C38" s="88" t="s">
        <v>211</v>
      </c>
      <c r="D38" s="85">
        <v>0.78300000000000003</v>
      </c>
      <c r="E38" s="75" t="s">
        <v>247</v>
      </c>
      <c r="F38" s="75" t="s">
        <v>180</v>
      </c>
      <c r="G38" s="74">
        <v>46251</v>
      </c>
      <c r="H38" s="270" t="s">
        <v>215</v>
      </c>
      <c r="I38"/>
      <c r="J38"/>
    </row>
    <row r="39" spans="3:10" ht="60" x14ac:dyDescent="0.2">
      <c r="C39" s="88" t="s">
        <v>176</v>
      </c>
      <c r="D39" s="89">
        <v>4.4600000000000001E-2</v>
      </c>
      <c r="E39" s="75" t="s">
        <v>177</v>
      </c>
      <c r="F39" s="75" t="s">
        <v>172</v>
      </c>
      <c r="G39" s="74">
        <v>46251</v>
      </c>
      <c r="H39" s="270" t="s">
        <v>216</v>
      </c>
      <c r="I39"/>
      <c r="J39"/>
    </row>
    <row r="40" spans="3:10" ht="60" x14ac:dyDescent="0.2">
      <c r="C40" s="90" t="s">
        <v>178</v>
      </c>
      <c r="D40" s="91" t="s">
        <v>179</v>
      </c>
      <c r="E40" s="91" t="s">
        <v>236</v>
      </c>
      <c r="F40" s="75" t="s">
        <v>180</v>
      </c>
      <c r="G40" s="74">
        <v>46251</v>
      </c>
      <c r="H40" s="270" t="s">
        <v>217</v>
      </c>
      <c r="I40"/>
      <c r="J40"/>
    </row>
    <row r="41" spans="3:10" ht="111" customHeight="1" x14ac:dyDescent="0.2">
      <c r="C41" s="90" t="s">
        <v>181</v>
      </c>
      <c r="D41" s="92">
        <v>2.5000000000000001E-2</v>
      </c>
      <c r="E41" s="93" t="s">
        <v>237</v>
      </c>
      <c r="F41" s="75" t="s">
        <v>182</v>
      </c>
      <c r="G41" s="74">
        <v>46251</v>
      </c>
      <c r="H41" s="270" t="s">
        <v>218</v>
      </c>
      <c r="I41"/>
      <c r="J41"/>
    </row>
    <row r="42" spans="3:10" ht="105" x14ac:dyDescent="0.2">
      <c r="C42" s="90" t="s">
        <v>183</v>
      </c>
      <c r="D42" s="91" t="s">
        <v>184</v>
      </c>
      <c r="E42" s="93" t="s">
        <v>185</v>
      </c>
      <c r="F42" s="75" t="s">
        <v>182</v>
      </c>
      <c r="G42" s="74">
        <v>46251</v>
      </c>
      <c r="H42" s="270" t="s">
        <v>219</v>
      </c>
      <c r="I42"/>
      <c r="J42"/>
    </row>
    <row r="43" spans="3:10" ht="75" x14ac:dyDescent="0.2">
      <c r="C43" s="90" t="s">
        <v>186</v>
      </c>
      <c r="D43" s="91" t="s">
        <v>187</v>
      </c>
      <c r="E43" s="93" t="s">
        <v>248</v>
      </c>
      <c r="F43" s="75" t="s">
        <v>188</v>
      </c>
      <c r="G43" s="74">
        <v>46251</v>
      </c>
      <c r="H43" s="270" t="s">
        <v>220</v>
      </c>
      <c r="I43"/>
      <c r="J43"/>
    </row>
    <row r="44" spans="3:10" ht="60" x14ac:dyDescent="0.2">
      <c r="C44" s="90" t="s">
        <v>189</v>
      </c>
      <c r="D44" s="91" t="s">
        <v>190</v>
      </c>
      <c r="E44" s="93" t="s">
        <v>238</v>
      </c>
      <c r="F44" s="75" t="s">
        <v>191</v>
      </c>
      <c r="G44" s="74">
        <v>46251</v>
      </c>
      <c r="H44" s="270" t="s">
        <v>221</v>
      </c>
      <c r="I44"/>
      <c r="J44"/>
    </row>
    <row r="45" spans="3:10" ht="90" x14ac:dyDescent="0.2">
      <c r="C45" s="90" t="s">
        <v>192</v>
      </c>
      <c r="D45" s="91" t="s">
        <v>193</v>
      </c>
      <c r="E45" s="93" t="s">
        <v>239</v>
      </c>
      <c r="F45" s="75" t="s">
        <v>188</v>
      </c>
      <c r="G45" s="74">
        <v>46251</v>
      </c>
      <c r="H45" s="270" t="s">
        <v>222</v>
      </c>
      <c r="I45"/>
      <c r="J45"/>
    </row>
    <row r="46" spans="3:10" ht="131" customHeight="1" x14ac:dyDescent="0.2">
      <c r="C46" s="90" t="s">
        <v>194</v>
      </c>
      <c r="D46" s="91" t="s">
        <v>249</v>
      </c>
      <c r="E46" s="93" t="s">
        <v>256</v>
      </c>
      <c r="F46" s="75" t="s">
        <v>191</v>
      </c>
      <c r="G46" s="74">
        <v>46252</v>
      </c>
      <c r="H46" s="270" t="s">
        <v>223</v>
      </c>
      <c r="I46"/>
      <c r="J46"/>
    </row>
    <row r="47" spans="3:10" ht="75" x14ac:dyDescent="0.2">
      <c r="C47" s="90" t="s">
        <v>87</v>
      </c>
      <c r="D47" s="92">
        <v>0</v>
      </c>
      <c r="E47" s="93" t="s">
        <v>240</v>
      </c>
      <c r="F47" s="75" t="s">
        <v>191</v>
      </c>
      <c r="G47" s="74">
        <v>46252</v>
      </c>
      <c r="H47" s="270" t="s">
        <v>224</v>
      </c>
      <c r="I47"/>
      <c r="J47"/>
    </row>
    <row r="48" spans="3:10" ht="90" x14ac:dyDescent="0.2">
      <c r="C48" s="90" t="s">
        <v>195</v>
      </c>
      <c r="D48" s="91">
        <v>0.98899999999999999</v>
      </c>
      <c r="E48" s="93" t="s">
        <v>259</v>
      </c>
      <c r="F48" s="75" t="s">
        <v>180</v>
      </c>
      <c r="G48" s="74">
        <v>46252</v>
      </c>
      <c r="H48" s="270" t="s">
        <v>225</v>
      </c>
      <c r="I48"/>
      <c r="J48"/>
    </row>
    <row r="49" spans="3:10" ht="90" x14ac:dyDescent="0.2">
      <c r="C49" s="90" t="s">
        <v>196</v>
      </c>
      <c r="D49" s="91" t="s">
        <v>169</v>
      </c>
      <c r="E49" s="93" t="s">
        <v>241</v>
      </c>
      <c r="F49" s="75" t="s">
        <v>180</v>
      </c>
      <c r="G49" s="74">
        <v>46252</v>
      </c>
      <c r="H49" s="270" t="s">
        <v>226</v>
      </c>
      <c r="I49"/>
      <c r="J49"/>
    </row>
    <row r="50" spans="3:10" ht="45" x14ac:dyDescent="0.2">
      <c r="C50" s="90" t="s">
        <v>197</v>
      </c>
      <c r="D50" s="91" t="s">
        <v>198</v>
      </c>
      <c r="E50" s="93" t="s">
        <v>242</v>
      </c>
      <c r="F50" s="75" t="s">
        <v>180</v>
      </c>
      <c r="G50" s="74">
        <v>46252</v>
      </c>
      <c r="H50" s="270" t="s">
        <v>227</v>
      </c>
      <c r="I50"/>
      <c r="J50"/>
    </row>
    <row r="51" spans="3:10" ht="75" x14ac:dyDescent="0.2">
      <c r="C51" s="90" t="s">
        <v>199</v>
      </c>
      <c r="D51" s="91" t="s">
        <v>200</v>
      </c>
      <c r="E51" s="93" t="s">
        <v>243</v>
      </c>
      <c r="F51" s="75" t="s">
        <v>180</v>
      </c>
      <c r="G51" s="74">
        <v>46252</v>
      </c>
      <c r="H51" s="270" t="s">
        <v>228</v>
      </c>
      <c r="I51"/>
      <c r="J51"/>
    </row>
    <row r="52" spans="3:10" ht="45" x14ac:dyDescent="0.2">
      <c r="C52" s="94" t="s">
        <v>201</v>
      </c>
      <c r="D52" s="95" t="s">
        <v>244</v>
      </c>
      <c r="E52" s="96" t="s">
        <v>245</v>
      </c>
      <c r="F52" s="82" t="s">
        <v>180</v>
      </c>
      <c r="G52" s="149">
        <v>46252</v>
      </c>
      <c r="H52" s="271" t="s">
        <v>229</v>
      </c>
      <c r="I52"/>
      <c r="J52"/>
    </row>
    <row r="53" spans="3:10" ht="16" x14ac:dyDescent="0.2">
      <c r="I53"/>
      <c r="J53"/>
    </row>
  </sheetData>
  <phoneticPr fontId="7" type="noConversion"/>
  <dataValidations count="2">
    <dataValidation type="list" allowBlank="1" showInputMessage="1" showErrorMessage="1" sqref="F34:F38" xr:uid="{E098CD1D-52E0-F246-912A-96BFE17F1465}">
      <formula1>"History, Guidance, Peers, Convergence, Convention "</formula1>
    </dataValidation>
    <dataValidation type="list" allowBlank="1" showInputMessage="1" showErrorMessage="1" sqref="F39" xr:uid="{72478A23-22BE-C549-B5E2-E0A9C21859E3}">
      <formula1>"History, Guidance, Peers, Convergence, Convention, Third party academic"</formula1>
    </dataValidation>
  </dataValidations>
  <hyperlinks>
    <hyperlink ref="H24" r:id="rId1" tooltip="US Dept of the Treasury, Daily Treasury Par Yield Curve Rates, 2025 series" xr:uid="{FA865CBC-4DFF-1E4E-92F8-59558B167DB9}"/>
    <hyperlink ref="H25" r:id="rId2" tooltip="Betas by Sector (US), /pc/datasets/betas.xls" xr:uid="{5F3DBD30-B82B-DC43-89A7-C4286AAA0C1A}"/>
    <hyperlink ref="H27" r:id="rId3" tooltip="Country Default Spreads and Risk Premiums, /pc/datasets/ctryprem.xlsx" xr:uid="{D75D9A63-A6FC-6043-B209-1997440236A8}"/>
    <hyperlink ref="H34" location="Assumptions!E46:E50" tooltip="Go to Assumptions!E46:E50" display="Assumptions!E46:E50" xr:uid="{C3F4B6BD-943B-A942-A31A-9EBE17711A9D}"/>
    <hyperlink ref="H35" location="Assumptions!E13" tooltip="Go to Assumptions!E13" display="Assumptions!E13" xr:uid="{A57D4C2A-3FAA-A540-B246-FCE4A9BE9CD7}"/>
    <hyperlink ref="H36" location="Assumptions!E8" tooltip="Go to Assumptions!E8" display="Assumptions!E8" xr:uid="{0AF049D8-9D40-6C40-B75C-6450180C7874}"/>
    <hyperlink ref="H37" location="Assumptions!E9" tooltip="Go to Assumptions!E9" display="Assumptions!E9" xr:uid="{840EFBD9-3249-3747-ADED-7D9788608B04}"/>
    <hyperlink ref="H38" location="Assumptions!E9" tooltip="Go to Assumptions!E9" display="Assumptions!E9" xr:uid="{C4E42ECB-8108-AA49-96F3-FDD09A8D0AA3}"/>
    <hyperlink ref="H39" location="Assumptions!E10" tooltip="Go to Assumptions!E10" display="Assumptions!E10" xr:uid="{98470838-9486-234C-A0EC-72A257AAEF8B}"/>
    <hyperlink ref="H40" location="Assumptions!E18" tooltip="Go to Assumptions!E18" display="Assumptions!E18" xr:uid="{399550C0-E4C2-1C48-B6B7-CE50588C0616}"/>
    <hyperlink ref="H41" location="Assumptions!E17" tooltip="Go to Assumptions!E17" display="Assumptions!E17" xr:uid="{AFE884F6-DB41-584D-9890-3987DD209887}"/>
    <hyperlink ref="H42" location="Assumptions!K42" tooltip="Go to Assumptions!K42" display="Assumptions!K42" xr:uid="{2E9D9F8F-20C2-3646-9BB4-D07AFCEA8907}"/>
    <hyperlink ref="H43" location="Assumptions!F22:K22" tooltip="Go to Assumptions!F22:K22" display="Assumptions!F22:K22" xr:uid="{26BB4DD9-3D74-1F49-A81A-03F52C9137BF}"/>
    <hyperlink ref="H44" location="Assumptions!E23:K23" tooltip="Go to Assumptions!E23:K23" display="Assumptions!E23:K23" xr:uid="{9A0A96C7-5018-FA40-B2A2-0E974E88B0BB}"/>
    <hyperlink ref="H45" location="Assumptions!F28:K28" tooltip="Go to Assumptions!F28:K28" display="Assumptions!F28:K28" xr:uid="{73DD54C8-DD6C-5E40-AC0F-17EA2EF5DBE2}"/>
    <hyperlink ref="H46" location="Assumptions!E32:K39" tooltip="Go to Assumptions!E32:K39" display="Assumptions!E32:K39" xr:uid="{3784AD5A-BB16-FA49-97FF-C2E901E26601}"/>
    <hyperlink ref="H47" location="Assumptions!E43:K43" tooltip="Go to Assumptions!E43:K43" display="Assumptions!E43:K43" xr:uid="{150906AA-2016-B84F-B3FB-C8DF5631ADF7}"/>
    <hyperlink ref="H48" location="Assumptions!E29" tooltip="Go to Assumptions!E29" display="Assumptions!E29" xr:uid="{1D374095-488B-8842-917D-EE1A62D50CC3}"/>
    <hyperlink ref="H49" location="Historicals!E38:G38" tooltip="Go to Historicals!E38:G38" display="Historicals!E38:G38" xr:uid="{90F5F5A4-606B-514E-BD71-82841A8A3C42}"/>
    <hyperlink ref="H50" location="Assumptions!E47:E49" tooltip="Go to Assumptions!E47:E49" display="Assumptions!E47:E49" xr:uid="{4333F407-B382-D94F-9FEC-354EB5263832}"/>
    <hyperlink ref="H51" location="Assumptions!E49" tooltip="Go to Assumptions!E49" display="Assumptions!E49" xr:uid="{6436A5CF-4841-1A4E-BCC9-468F3F401131}"/>
    <hyperlink ref="H52" location="DCF!C42" tooltip="Go to DCF!C42" display="DCF!C42" xr:uid="{6271E907-08C1-F244-9AFC-FB25FBC424B5}"/>
    <hyperlink ref="H26" r:id="rId4" xr:uid="{4EAB4ECE-9FAA-724A-A0B6-C6CBC33645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vt:lpstr>
      <vt:lpstr>Assumptions</vt:lpstr>
      <vt:lpstr>Historicals</vt:lpstr>
      <vt:lpstr>DCF</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Fedor Shcherbatenko</dc:creator>
  <cp:lastModifiedBy>Fedor Shcherbatenko</cp:lastModifiedBy>
  <dcterms:created xsi:type="dcterms:W3CDTF">2026-08-01T13:00:14Z</dcterms:created>
  <dcterms:modified xsi:type="dcterms:W3CDTF">2026-09-08T20:22:25Z</dcterms:modified>
</cp:coreProperties>
</file>